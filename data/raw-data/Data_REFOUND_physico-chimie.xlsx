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4cb004\Desktop\Post-doc\7 - REFOUND\Data physico-chimie\"/>
    </mc:Choice>
  </mc:AlternateContent>
  <xr:revisionPtr revIDLastSave="0" documentId="13_ncr:1_{861D5E27-399D-4305-A5EC-A3260762BEC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2" i="1"/>
</calcChain>
</file>

<file path=xl/sharedStrings.xml><?xml version="1.0" encoding="utf-8"?>
<sst xmlns="http://schemas.openxmlformats.org/spreadsheetml/2006/main" count="464" uniqueCount="174">
  <si>
    <t>Id</t>
  </si>
  <si>
    <t>Couple</t>
  </si>
  <si>
    <t>Type</t>
  </si>
  <si>
    <t>Zone</t>
  </si>
  <si>
    <t>pH_eau</t>
  </si>
  <si>
    <t>pH_KCl</t>
  </si>
  <si>
    <t>C/N</t>
  </si>
  <si>
    <t>MTB1</t>
  </si>
  <si>
    <t>MTHB1</t>
  </si>
  <si>
    <t>MTB2</t>
  </si>
  <si>
    <t>MTHB2</t>
  </si>
  <si>
    <t>MTB3</t>
  </si>
  <si>
    <t>MTHB3</t>
  </si>
  <si>
    <t>MTB4</t>
  </si>
  <si>
    <t>MTHB4</t>
  </si>
  <si>
    <t>SSB1</t>
  </si>
  <si>
    <t>SSHB1</t>
  </si>
  <si>
    <t>SSB2</t>
  </si>
  <si>
    <t>SSHB2</t>
  </si>
  <si>
    <t>SSB3</t>
  </si>
  <si>
    <t>SSHB3</t>
  </si>
  <si>
    <t>SSB4</t>
  </si>
  <si>
    <t>SSHB4</t>
  </si>
  <si>
    <t>GCB1</t>
  </si>
  <si>
    <t>GCHB1</t>
  </si>
  <si>
    <t>GCB2</t>
  </si>
  <si>
    <t>NA</t>
  </si>
  <si>
    <t>GCHB2</t>
  </si>
  <si>
    <t>GCB3</t>
  </si>
  <si>
    <t>GCHB3</t>
  </si>
  <si>
    <t>GCB4</t>
  </si>
  <si>
    <t>GCHB4</t>
  </si>
  <si>
    <t>HVB1</t>
  </si>
  <si>
    <t>HVHB1</t>
  </si>
  <si>
    <t>HVB2</t>
  </si>
  <si>
    <t>HVHB2</t>
  </si>
  <si>
    <t>HVB3</t>
  </si>
  <si>
    <t>HVHB3</t>
  </si>
  <si>
    <t>HVB4</t>
  </si>
  <si>
    <t>HVHB4</t>
  </si>
  <si>
    <t>LGB1</t>
  </si>
  <si>
    <t>LGHB1</t>
  </si>
  <si>
    <t>LGB2</t>
  </si>
  <si>
    <t>LGHB2</t>
  </si>
  <si>
    <t>LGB3</t>
  </si>
  <si>
    <t>LGHB3</t>
  </si>
  <si>
    <t>LGB4</t>
  </si>
  <si>
    <t>LGHB4</t>
  </si>
  <si>
    <t>SLGB1</t>
  </si>
  <si>
    <t>SLGHB1</t>
  </si>
  <si>
    <t>SLGB2</t>
  </si>
  <si>
    <t>SLGHB2</t>
  </si>
  <si>
    <t>SMB1</t>
  </si>
  <si>
    <t>SMHB1</t>
  </si>
  <si>
    <t>SMB2</t>
  </si>
  <si>
    <t>SMHB2</t>
  </si>
  <si>
    <t>SMB3</t>
  </si>
  <si>
    <t>SMHB3</t>
  </si>
  <si>
    <t>SMB4</t>
  </si>
  <si>
    <t>SMHB4</t>
  </si>
  <si>
    <t>FTB1</t>
  </si>
  <si>
    <t>FTBHB1</t>
  </si>
  <si>
    <t>FTB2</t>
  </si>
  <si>
    <t>FTHB2</t>
  </si>
  <si>
    <t>FTB3</t>
  </si>
  <si>
    <t>FTHB3</t>
  </si>
  <si>
    <t>NMRB1</t>
  </si>
  <si>
    <t>NMRHB1</t>
  </si>
  <si>
    <t>NMRB2</t>
  </si>
  <si>
    <t>NMRHB2</t>
  </si>
  <si>
    <t>NMRB3</t>
  </si>
  <si>
    <t>NMRHB3</t>
  </si>
  <si>
    <t>NMRB4</t>
  </si>
  <si>
    <t>NMRHB4</t>
  </si>
  <si>
    <t>SAB1</t>
  </si>
  <si>
    <t>SAHB1</t>
  </si>
  <si>
    <t>SAB2</t>
  </si>
  <si>
    <t>SAHB2</t>
  </si>
  <si>
    <t>SAB3</t>
  </si>
  <si>
    <t>SAHB3</t>
  </si>
  <si>
    <t>SAB4</t>
  </si>
  <si>
    <t>SAHB4</t>
  </si>
  <si>
    <t>DPSB1</t>
  </si>
  <si>
    <t>DPSHB1</t>
  </si>
  <si>
    <t>DPSB2</t>
  </si>
  <si>
    <t>DPSHB2</t>
  </si>
  <si>
    <t>DPSB3</t>
  </si>
  <si>
    <t>DPSHB3</t>
  </si>
  <si>
    <t>DPSB4</t>
  </si>
  <si>
    <t>DPSHB4</t>
  </si>
  <si>
    <t>DPB1</t>
  </si>
  <si>
    <t>DPHB1</t>
  </si>
  <si>
    <t>DPB2</t>
  </si>
  <si>
    <t>DPHB2</t>
  </si>
  <si>
    <t>DPB3</t>
  </si>
  <si>
    <t>DPHB3</t>
  </si>
  <si>
    <t>DPB4</t>
  </si>
  <si>
    <t>DPHB4</t>
  </si>
  <si>
    <t>JMB1</t>
  </si>
  <si>
    <t>JMHB1</t>
  </si>
  <si>
    <t>JMB2</t>
  </si>
  <si>
    <t>JMHB2</t>
  </si>
  <si>
    <t>JMSB1</t>
  </si>
  <si>
    <t>JMSHB1</t>
  </si>
  <si>
    <t>JMSB2</t>
  </si>
  <si>
    <t>JMSHB2</t>
  </si>
  <si>
    <t>&lt;1</t>
  </si>
  <si>
    <t>SDB1</t>
  </si>
  <si>
    <t>SDHB1</t>
  </si>
  <si>
    <t>SDB2</t>
  </si>
  <si>
    <t>SDHB2</t>
  </si>
  <si>
    <t>SDB3</t>
  </si>
  <si>
    <t>SDHB3</t>
  </si>
  <si>
    <t>SDB4</t>
  </si>
  <si>
    <t>SDHB4</t>
  </si>
  <si>
    <t>SDPB1</t>
  </si>
  <si>
    <t>SDPHB1</t>
  </si>
  <si>
    <t>SDPB2</t>
  </si>
  <si>
    <t>SDPHB2</t>
  </si>
  <si>
    <t>SDPB3</t>
  </si>
  <si>
    <t>SDPHB3</t>
  </si>
  <si>
    <t>SDPB4</t>
  </si>
  <si>
    <t>SDPHB4</t>
  </si>
  <si>
    <t>JYVB1</t>
  </si>
  <si>
    <t>JYVHB1</t>
  </si>
  <si>
    <t>JYVB2</t>
  </si>
  <si>
    <t>JYVHB2</t>
  </si>
  <si>
    <t>JYVB3</t>
  </si>
  <si>
    <t>JYVHB3</t>
  </si>
  <si>
    <t>JYVB4</t>
  </si>
  <si>
    <t>JYVHB4</t>
  </si>
  <si>
    <t>BCFB1</t>
  </si>
  <si>
    <t>BCFHB1</t>
  </si>
  <si>
    <t>BCFB2</t>
  </si>
  <si>
    <t>BCFHB2</t>
  </si>
  <si>
    <t>BCFB3</t>
  </si>
  <si>
    <t>BCFHB3</t>
  </si>
  <si>
    <t>BCFB4</t>
  </si>
  <si>
    <t>BCFHB4</t>
  </si>
  <si>
    <t>TCSB1</t>
  </si>
  <si>
    <t>TCSHB1</t>
  </si>
  <si>
    <t>TCSB2</t>
  </si>
  <si>
    <t>TCSHB2</t>
  </si>
  <si>
    <t>TCSB3</t>
  </si>
  <si>
    <t>TCSHB3</t>
  </si>
  <si>
    <t>TCSB4</t>
  </si>
  <si>
    <t>TCSHB4</t>
  </si>
  <si>
    <t>TCPB1</t>
  </si>
  <si>
    <t>TCPHB1</t>
  </si>
  <si>
    <t>TCPB2</t>
  </si>
  <si>
    <t>TCPHB2</t>
  </si>
  <si>
    <t>TCPB3</t>
  </si>
  <si>
    <t>TCPHB3</t>
  </si>
  <si>
    <t>TCPB4</t>
  </si>
  <si>
    <t>TCPHB4</t>
  </si>
  <si>
    <t>Plante</t>
  </si>
  <si>
    <t>Brule</t>
  </si>
  <si>
    <t>Hors brule</t>
  </si>
  <si>
    <t>Spontane</t>
  </si>
  <si>
    <t>Pi</t>
  </si>
  <si>
    <t>Azote_total</t>
  </si>
  <si>
    <t>Calcaire_total</t>
  </si>
  <si>
    <t>Carbone_total</t>
  </si>
  <si>
    <t>Carbone_organique_total</t>
  </si>
  <si>
    <t>Calcium</t>
  </si>
  <si>
    <t>Magnesium</t>
  </si>
  <si>
    <t>Manganese</t>
  </si>
  <si>
    <t>Potassium</t>
  </si>
  <si>
    <t>Argiles</t>
  </si>
  <si>
    <t>Limons</t>
  </si>
  <si>
    <t>Sables</t>
  </si>
  <si>
    <t>Matiere_organique</t>
  </si>
  <si>
    <t>Nom_echantillons</t>
  </si>
  <si>
    <t>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</si>
</sst>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7"/>
  <sheetViews>
    <sheetView tabSelected="1" topLeftCell="A2" workbookViewId="0">
      <selection activeCell="N18" sqref="N18"/>
    </sheetView>
  </sheetViews>
  <sheetFormatPr baseColWidth="10" defaultColWidth="8.7265625" defaultRowHeight="14.5" x14ac:dyDescent="0.35"/>
  <cols>
    <col min="1" max="1" width="15.90625" style="4" bestFit="1" customWidth="1"/>
    <col min="2" max="3" width="8.7265625" style="4"/>
    <col min="4" max="4" width="9" style="4" bestFit="1" customWidth="1"/>
    <col min="5" max="5" width="9.6328125" style="4" bestFit="1" customWidth="1"/>
    <col min="6" max="6" width="11.81640625" style="4" bestFit="1" customWidth="1"/>
    <col min="7" max="16384" width="8.7265625" style="4"/>
  </cols>
  <sheetData>
    <row r="1" spans="1:22" ht="43.5" x14ac:dyDescent="0.35">
      <c r="A1" s="2" t="s">
        <v>172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173</v>
      </c>
      <c r="G1" s="2" t="s">
        <v>4</v>
      </c>
      <c r="H1" s="2" t="s">
        <v>5</v>
      </c>
      <c r="I1" s="2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6</v>
      </c>
      <c r="O1" s="3" t="s">
        <v>171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3" t="s">
        <v>169</v>
      </c>
      <c r="V1" s="3" t="s">
        <v>170</v>
      </c>
    </row>
    <row r="2" spans="1:22" x14ac:dyDescent="0.35">
      <c r="A2" s="1" t="s">
        <v>7</v>
      </c>
      <c r="B2" s="1">
        <v>1</v>
      </c>
      <c r="C2" s="1">
        <v>1</v>
      </c>
      <c r="D2" s="1" t="s">
        <v>155</v>
      </c>
      <c r="E2" s="1" t="s">
        <v>156</v>
      </c>
      <c r="F2" s="1" t="str">
        <f>_xlfn.CONCAT(D2,"_",E2)</f>
        <v>Plante_Brule</v>
      </c>
      <c r="G2" s="1">
        <v>7.72</v>
      </c>
      <c r="H2" s="1">
        <v>7.05</v>
      </c>
      <c r="I2" s="1">
        <v>40.887770099999997</v>
      </c>
      <c r="J2" s="1">
        <v>1.3602191209793</v>
      </c>
      <c r="K2" s="1">
        <v>3</v>
      </c>
      <c r="L2" s="1">
        <v>15.4488265514373</v>
      </c>
      <c r="M2" s="1">
        <v>15.1</v>
      </c>
      <c r="N2" s="1">
        <v>11.1</v>
      </c>
      <c r="O2" s="1">
        <v>26.1</v>
      </c>
      <c r="P2" s="1">
        <v>15.03</v>
      </c>
      <c r="Q2" s="1">
        <v>0.70130000000000003</v>
      </c>
      <c r="R2" s="1">
        <v>5.6099999999999997E-2</v>
      </c>
      <c r="S2" s="1">
        <v>0.56950000000000001</v>
      </c>
      <c r="T2" s="1">
        <v>168</v>
      </c>
      <c r="U2" s="1">
        <v>184</v>
      </c>
      <c r="V2" s="1">
        <v>648</v>
      </c>
    </row>
    <row r="3" spans="1:22" x14ac:dyDescent="0.35">
      <c r="A3" s="1" t="s">
        <v>8</v>
      </c>
      <c r="B3" s="1">
        <v>2</v>
      </c>
      <c r="C3" s="1">
        <v>1</v>
      </c>
      <c r="D3" s="1" t="s">
        <v>155</v>
      </c>
      <c r="E3" s="1" t="s">
        <v>157</v>
      </c>
      <c r="F3" s="1" t="str">
        <f t="shared" ref="F3:F66" si="0">_xlfn.CONCAT(D3,"_",E3)</f>
        <v>Plante_Hors brule</v>
      </c>
      <c r="G3" s="1">
        <v>7.95</v>
      </c>
      <c r="H3" s="1">
        <v>7.17</v>
      </c>
      <c r="I3" s="1">
        <v>35.407269399999997</v>
      </c>
      <c r="J3" s="1">
        <v>1.2795341014862001</v>
      </c>
      <c r="K3" s="1">
        <v>6</v>
      </c>
      <c r="L3" s="1">
        <v>14.961346387863101</v>
      </c>
      <c r="M3" s="1">
        <v>14.2</v>
      </c>
      <c r="N3" s="1">
        <v>11.1</v>
      </c>
      <c r="O3" s="1">
        <v>24.6</v>
      </c>
      <c r="P3" s="1">
        <v>15.73</v>
      </c>
      <c r="Q3" s="1">
        <v>0.66500000000000004</v>
      </c>
      <c r="R3" s="1">
        <v>5.2900000000000003E-2</v>
      </c>
      <c r="S3" s="1">
        <v>0.64480000000000004</v>
      </c>
      <c r="T3" s="1">
        <v>165</v>
      </c>
      <c r="U3" s="1">
        <v>176</v>
      </c>
      <c r="V3" s="1">
        <v>659</v>
      </c>
    </row>
    <row r="4" spans="1:22" x14ac:dyDescent="0.35">
      <c r="A4" s="1" t="s">
        <v>9</v>
      </c>
      <c r="B4" s="1">
        <v>3</v>
      </c>
      <c r="C4" s="1">
        <v>1</v>
      </c>
      <c r="D4" s="1" t="s">
        <v>155</v>
      </c>
      <c r="E4" s="1" t="s">
        <v>156</v>
      </c>
      <c r="F4" s="1" t="str">
        <f t="shared" si="0"/>
        <v>Plante_Brule</v>
      </c>
      <c r="G4" s="1">
        <v>8.33</v>
      </c>
      <c r="H4" s="1">
        <v>7.82</v>
      </c>
      <c r="I4" s="1">
        <v>10.106937500000001</v>
      </c>
      <c r="J4" s="1">
        <v>1.3272157311439501</v>
      </c>
      <c r="K4" s="1">
        <v>279</v>
      </c>
      <c r="L4" s="1">
        <v>46.7711114883422</v>
      </c>
      <c r="M4" s="1">
        <v>13.3</v>
      </c>
      <c r="N4" s="1">
        <v>10</v>
      </c>
      <c r="O4" s="1">
        <v>23</v>
      </c>
      <c r="P4" s="1">
        <v>35.229999999999997</v>
      </c>
      <c r="Q4" s="1">
        <v>0.52490000000000003</v>
      </c>
      <c r="R4" s="1">
        <v>2.4799999999999999E-2</v>
      </c>
      <c r="S4" s="1">
        <v>0.2964</v>
      </c>
      <c r="T4" s="1">
        <v>117</v>
      </c>
      <c r="U4" s="1">
        <v>226</v>
      </c>
      <c r="V4" s="1">
        <v>657</v>
      </c>
    </row>
    <row r="5" spans="1:22" x14ac:dyDescent="0.35">
      <c r="A5" s="1" t="s">
        <v>10</v>
      </c>
      <c r="B5" s="1">
        <v>4</v>
      </c>
      <c r="C5" s="1">
        <v>1</v>
      </c>
      <c r="D5" s="1" t="s">
        <v>155</v>
      </c>
      <c r="E5" s="1" t="s">
        <v>157</v>
      </c>
      <c r="F5" s="1" t="str">
        <f t="shared" si="0"/>
        <v>Plante_Hors brule</v>
      </c>
      <c r="G5" s="1">
        <v>8.26</v>
      </c>
      <c r="H5" s="1">
        <v>7.8</v>
      </c>
      <c r="I5" s="1">
        <v>12.1121344</v>
      </c>
      <c r="J5" s="1">
        <v>1.5740108489990201</v>
      </c>
      <c r="K5" s="1">
        <v>281</v>
      </c>
      <c r="L5" s="1">
        <v>48.751311302185002</v>
      </c>
      <c r="M5" s="1">
        <v>15</v>
      </c>
      <c r="N5" s="1">
        <v>9.5299999999999994</v>
      </c>
      <c r="O5" s="1">
        <v>26</v>
      </c>
      <c r="P5" s="1">
        <v>35.22</v>
      </c>
      <c r="Q5" s="1">
        <v>0.54400000000000004</v>
      </c>
      <c r="R5" s="1">
        <v>2.3E-2</v>
      </c>
      <c r="S5" s="1">
        <v>0.34439999999999998</v>
      </c>
      <c r="T5" s="1">
        <v>119</v>
      </c>
      <c r="U5" s="1">
        <v>234</v>
      </c>
      <c r="V5" s="1">
        <v>647</v>
      </c>
    </row>
    <row r="6" spans="1:22" x14ac:dyDescent="0.35">
      <c r="A6" s="1" t="s">
        <v>11</v>
      </c>
      <c r="B6" s="1">
        <v>5</v>
      </c>
      <c r="C6" s="1">
        <v>1</v>
      </c>
      <c r="D6" s="1" t="s">
        <v>155</v>
      </c>
      <c r="E6" s="1" t="s">
        <v>156</v>
      </c>
      <c r="F6" s="1" t="str">
        <f t="shared" si="0"/>
        <v>Plante_Brule</v>
      </c>
      <c r="G6" s="1">
        <v>8.24</v>
      </c>
      <c r="H6" s="1">
        <v>7.68</v>
      </c>
      <c r="I6" s="1">
        <v>16.304267100000001</v>
      </c>
      <c r="J6" s="1">
        <v>1.5941998362541101</v>
      </c>
      <c r="K6" s="1">
        <v>117</v>
      </c>
      <c r="L6" s="1">
        <v>31.0895466804504</v>
      </c>
      <c r="M6" s="1">
        <v>17</v>
      </c>
      <c r="N6" s="1">
        <v>10.7</v>
      </c>
      <c r="O6" s="1">
        <v>29.4</v>
      </c>
      <c r="P6" s="1">
        <v>34.729999999999997</v>
      </c>
      <c r="Q6" s="1">
        <v>0.73080000000000001</v>
      </c>
      <c r="R6" s="1">
        <v>3.3799999999999997E-2</v>
      </c>
      <c r="S6" s="1">
        <v>0.52659999999999996</v>
      </c>
      <c r="T6" s="1">
        <v>145</v>
      </c>
      <c r="U6" s="1">
        <v>168</v>
      </c>
      <c r="V6" s="1">
        <v>687</v>
      </c>
    </row>
    <row r="7" spans="1:22" x14ac:dyDescent="0.35">
      <c r="A7" s="1" t="s">
        <v>12</v>
      </c>
      <c r="B7" s="1">
        <v>6</v>
      </c>
      <c r="C7" s="1">
        <v>1</v>
      </c>
      <c r="D7" s="1" t="s">
        <v>155</v>
      </c>
      <c r="E7" s="1" t="s">
        <v>157</v>
      </c>
      <c r="F7" s="1" t="str">
        <f t="shared" si="0"/>
        <v>Plante_Hors brule</v>
      </c>
      <c r="G7" s="1">
        <v>8.14</v>
      </c>
      <c r="H7" s="1">
        <v>7.61</v>
      </c>
      <c r="I7" s="1">
        <v>21.735788800000002</v>
      </c>
      <c r="J7" s="1">
        <v>1.7949737608432701</v>
      </c>
      <c r="K7" s="1">
        <v>114</v>
      </c>
      <c r="L7" s="1">
        <v>33.221530914306598</v>
      </c>
      <c r="M7" s="1">
        <v>19.5</v>
      </c>
      <c r="N7" s="1">
        <v>10.9</v>
      </c>
      <c r="O7" s="1">
        <v>33.700000000000003</v>
      </c>
      <c r="P7" s="1">
        <v>34.119999999999997</v>
      </c>
      <c r="Q7" s="1">
        <v>0.74050000000000005</v>
      </c>
      <c r="R7" s="1">
        <v>3.2599999999999997E-2</v>
      </c>
      <c r="S7" s="1">
        <v>0.61</v>
      </c>
      <c r="T7" s="1">
        <v>148</v>
      </c>
      <c r="U7" s="1">
        <v>168</v>
      </c>
      <c r="V7" s="1">
        <v>684</v>
      </c>
    </row>
    <row r="8" spans="1:22" x14ac:dyDescent="0.35">
      <c r="A8" s="1" t="s">
        <v>13</v>
      </c>
      <c r="B8" s="1">
        <v>7</v>
      </c>
      <c r="C8" s="1">
        <v>1</v>
      </c>
      <c r="D8" s="1" t="s">
        <v>155</v>
      </c>
      <c r="E8" s="1" t="s">
        <v>156</v>
      </c>
      <c r="F8" s="1" t="str">
        <f t="shared" si="0"/>
        <v>Plante_Brule</v>
      </c>
      <c r="G8" s="1">
        <v>8.23</v>
      </c>
      <c r="H8" s="1">
        <v>7.68</v>
      </c>
      <c r="I8" s="1">
        <v>7.48291167</v>
      </c>
      <c r="J8" s="1">
        <v>1.3452124595642001</v>
      </c>
      <c r="K8" s="1">
        <v>55</v>
      </c>
      <c r="L8" s="1">
        <v>20.743970870971602</v>
      </c>
      <c r="M8" s="1">
        <v>14.1</v>
      </c>
      <c r="N8" s="1">
        <v>10.5</v>
      </c>
      <c r="O8" s="1">
        <v>24.4</v>
      </c>
      <c r="P8" s="1">
        <v>30.59</v>
      </c>
      <c r="Q8" s="1">
        <v>0.77280000000000004</v>
      </c>
      <c r="R8" s="1">
        <v>2.4500000000000001E-2</v>
      </c>
      <c r="S8" s="1">
        <v>0.25600000000000001</v>
      </c>
      <c r="T8" s="1">
        <v>130</v>
      </c>
      <c r="U8" s="1">
        <v>116</v>
      </c>
      <c r="V8" s="1">
        <v>754</v>
      </c>
    </row>
    <row r="9" spans="1:22" x14ac:dyDescent="0.35">
      <c r="A9" s="1" t="s">
        <v>14</v>
      </c>
      <c r="B9" s="1">
        <v>8</v>
      </c>
      <c r="C9" s="1">
        <v>1</v>
      </c>
      <c r="D9" s="1" t="s">
        <v>155</v>
      </c>
      <c r="E9" s="1" t="s">
        <v>157</v>
      </c>
      <c r="F9" s="1" t="str">
        <f t="shared" si="0"/>
        <v>Plante_Hors brule</v>
      </c>
      <c r="G9" s="1">
        <v>8.18</v>
      </c>
      <c r="H9" s="1">
        <v>7.63</v>
      </c>
      <c r="I9" s="1">
        <v>11.7947191</v>
      </c>
      <c r="J9" s="1">
        <v>1.6300702095031701</v>
      </c>
      <c r="K9" s="1">
        <v>59</v>
      </c>
      <c r="L9" s="1">
        <v>24.486095905303898</v>
      </c>
      <c r="M9" s="1">
        <v>17.399999999999999</v>
      </c>
      <c r="N9" s="1">
        <v>10.7</v>
      </c>
      <c r="O9" s="1">
        <v>30.1</v>
      </c>
      <c r="P9" s="1">
        <v>30.57</v>
      </c>
      <c r="Q9" s="1">
        <v>0.82079999999999997</v>
      </c>
      <c r="R9" s="1">
        <v>2.3E-2</v>
      </c>
      <c r="S9" s="1">
        <v>0.26469999999999999</v>
      </c>
      <c r="T9" s="1">
        <v>132</v>
      </c>
      <c r="U9" s="1">
        <v>128</v>
      </c>
      <c r="V9" s="1">
        <v>740</v>
      </c>
    </row>
    <row r="10" spans="1:22" x14ac:dyDescent="0.35">
      <c r="A10" s="1" t="s">
        <v>15</v>
      </c>
      <c r="B10" s="1">
        <v>9</v>
      </c>
      <c r="C10" s="1">
        <v>1</v>
      </c>
      <c r="D10" s="1" t="s">
        <v>158</v>
      </c>
      <c r="E10" s="1" t="s">
        <v>156</v>
      </c>
      <c r="F10" s="1" t="str">
        <f t="shared" si="0"/>
        <v>Spontane_Brule</v>
      </c>
      <c r="G10" s="1">
        <v>8.27</v>
      </c>
      <c r="H10" s="1">
        <v>7.6</v>
      </c>
      <c r="I10" s="1">
        <v>4.8858156900000003</v>
      </c>
      <c r="J10" s="1">
        <v>1.43244341015815</v>
      </c>
      <c r="K10" s="1">
        <v>241</v>
      </c>
      <c r="L10" s="1">
        <v>48.324937820434499</v>
      </c>
      <c r="M10" s="1">
        <v>19.399999999999999</v>
      </c>
      <c r="N10" s="1">
        <v>13.5</v>
      </c>
      <c r="O10" s="1">
        <v>33.6</v>
      </c>
      <c r="P10" s="1">
        <v>36.65</v>
      </c>
      <c r="Q10" s="1">
        <v>0.34720000000000001</v>
      </c>
      <c r="R10" s="1">
        <v>2.0799999999999999E-2</v>
      </c>
      <c r="S10" s="1">
        <v>0.15129999999999999</v>
      </c>
      <c r="T10" s="1">
        <v>104</v>
      </c>
      <c r="U10" s="1">
        <v>117</v>
      </c>
      <c r="V10" s="1">
        <v>779</v>
      </c>
    </row>
    <row r="11" spans="1:22" x14ac:dyDescent="0.35">
      <c r="A11" s="1" t="s">
        <v>16</v>
      </c>
      <c r="B11" s="1">
        <v>10</v>
      </c>
      <c r="C11" s="1">
        <v>1</v>
      </c>
      <c r="D11" s="1" t="s">
        <v>158</v>
      </c>
      <c r="E11" s="1" t="s">
        <v>157</v>
      </c>
      <c r="F11" s="1" t="str">
        <f t="shared" si="0"/>
        <v>Spontane_Hors brule</v>
      </c>
      <c r="G11" s="1">
        <v>8.15</v>
      </c>
      <c r="H11" s="1">
        <v>7.67</v>
      </c>
      <c r="I11" s="1">
        <v>4.8295166199999997</v>
      </c>
      <c r="J11" s="1">
        <v>1.6229514777660301</v>
      </c>
      <c r="K11" s="1">
        <v>260</v>
      </c>
      <c r="L11" s="1">
        <v>52.357120513916001</v>
      </c>
      <c r="M11" s="1">
        <v>21.2</v>
      </c>
      <c r="N11" s="1">
        <v>13.1</v>
      </c>
      <c r="O11" s="1">
        <v>36.700000000000003</v>
      </c>
      <c r="P11" s="1">
        <v>36.57</v>
      </c>
      <c r="Q11" s="1">
        <v>0.36209999999999998</v>
      </c>
      <c r="R11" s="1">
        <v>2.3699999999999999E-2</v>
      </c>
      <c r="S11" s="1">
        <v>0.14799999999999999</v>
      </c>
      <c r="T11" s="1">
        <v>104</v>
      </c>
      <c r="U11" s="1">
        <v>114</v>
      </c>
      <c r="V11" s="1">
        <v>782</v>
      </c>
    </row>
    <row r="12" spans="1:22" x14ac:dyDescent="0.35">
      <c r="A12" s="1" t="s">
        <v>17</v>
      </c>
      <c r="B12" s="1">
        <v>11</v>
      </c>
      <c r="C12" s="1">
        <v>1</v>
      </c>
      <c r="D12" s="1" t="s">
        <v>158</v>
      </c>
      <c r="E12" s="1" t="s">
        <v>156</v>
      </c>
      <c r="F12" s="1" t="str">
        <f t="shared" si="0"/>
        <v>Spontane_Brule</v>
      </c>
      <c r="G12" s="1">
        <v>8.18</v>
      </c>
      <c r="H12" s="1">
        <v>7.66</v>
      </c>
      <c r="I12" s="1">
        <v>11.963831600000001</v>
      </c>
      <c r="J12" s="1">
        <v>1.1912423372268599</v>
      </c>
      <c r="K12" s="1">
        <v>99</v>
      </c>
      <c r="L12" s="1">
        <v>23.790748119354198</v>
      </c>
      <c r="M12" s="1">
        <v>11.9</v>
      </c>
      <c r="N12" s="1">
        <v>9.99</v>
      </c>
      <c r="O12" s="1">
        <v>20.6</v>
      </c>
      <c r="P12" s="1">
        <v>33.770000000000003</v>
      </c>
      <c r="Q12" s="1">
        <v>0.47599999999999998</v>
      </c>
      <c r="R12" s="1">
        <v>2.18E-2</v>
      </c>
      <c r="S12" s="1">
        <v>0.28489999999999999</v>
      </c>
      <c r="T12" s="1">
        <v>128</v>
      </c>
      <c r="U12" s="1">
        <v>112</v>
      </c>
      <c r="V12" s="1">
        <v>760</v>
      </c>
    </row>
    <row r="13" spans="1:22" x14ac:dyDescent="0.35">
      <c r="A13" s="1" t="s">
        <v>18</v>
      </c>
      <c r="B13" s="1">
        <v>12</v>
      </c>
      <c r="C13" s="1">
        <v>1</v>
      </c>
      <c r="D13" s="1" t="s">
        <v>158</v>
      </c>
      <c r="E13" s="1" t="s">
        <v>157</v>
      </c>
      <c r="F13" s="1" t="str">
        <f t="shared" si="0"/>
        <v>Spontane_Hors brule</v>
      </c>
      <c r="G13" s="1">
        <v>8.23</v>
      </c>
      <c r="H13" s="1">
        <v>7.63</v>
      </c>
      <c r="I13" s="1">
        <v>14.2759111</v>
      </c>
      <c r="J13" s="1">
        <v>1.18883892893791</v>
      </c>
      <c r="K13" s="1">
        <v>80</v>
      </c>
      <c r="L13" s="1">
        <v>21.652202606201101</v>
      </c>
      <c r="M13" s="1">
        <v>12.1</v>
      </c>
      <c r="N13" s="1">
        <v>10.199999999999999</v>
      </c>
      <c r="O13" s="1">
        <v>20.9</v>
      </c>
      <c r="P13" s="1">
        <v>33.020000000000003</v>
      </c>
      <c r="Q13" s="1">
        <v>0.46760000000000002</v>
      </c>
      <c r="R13" s="1">
        <v>2.7199999999999998E-2</v>
      </c>
      <c r="S13" s="1">
        <v>0.2472</v>
      </c>
      <c r="T13" s="1">
        <v>140</v>
      </c>
      <c r="U13" s="1">
        <v>120</v>
      </c>
      <c r="V13" s="1">
        <v>740</v>
      </c>
    </row>
    <row r="14" spans="1:22" x14ac:dyDescent="0.35">
      <c r="A14" s="1" t="s">
        <v>19</v>
      </c>
      <c r="B14" s="1">
        <v>13</v>
      </c>
      <c r="C14" s="1">
        <v>1</v>
      </c>
      <c r="D14" s="1" t="s">
        <v>158</v>
      </c>
      <c r="E14" s="1" t="s">
        <v>156</v>
      </c>
      <c r="F14" s="1" t="str">
        <f t="shared" si="0"/>
        <v>Spontane_Brule</v>
      </c>
      <c r="G14" s="1">
        <v>8.26</v>
      </c>
      <c r="H14" s="1">
        <v>7.69</v>
      </c>
      <c r="I14" s="1">
        <v>9.6799154200000004</v>
      </c>
      <c r="J14" s="1">
        <v>1.07091031968593</v>
      </c>
      <c r="K14" s="1">
        <v>107</v>
      </c>
      <c r="L14" s="1">
        <v>24.2564630508422</v>
      </c>
      <c r="M14" s="1">
        <v>11.4</v>
      </c>
      <c r="N14" s="1">
        <v>10.6</v>
      </c>
      <c r="O14" s="1">
        <v>19.7</v>
      </c>
      <c r="P14" s="1">
        <v>33.770000000000003</v>
      </c>
      <c r="Q14" s="1">
        <v>0.41980000000000001</v>
      </c>
      <c r="R14" s="1">
        <v>1.9900000000000001E-2</v>
      </c>
      <c r="S14" s="1">
        <v>0.2283</v>
      </c>
      <c r="T14" s="1">
        <v>117</v>
      </c>
      <c r="U14" s="1">
        <v>107</v>
      </c>
      <c r="V14" s="1">
        <v>776</v>
      </c>
    </row>
    <row r="15" spans="1:22" x14ac:dyDescent="0.35">
      <c r="A15" s="1" t="s">
        <v>20</v>
      </c>
      <c r="B15" s="1">
        <v>14</v>
      </c>
      <c r="C15" s="1">
        <v>1</v>
      </c>
      <c r="D15" s="1" t="s">
        <v>158</v>
      </c>
      <c r="E15" s="1" t="s">
        <v>157</v>
      </c>
      <c r="F15" s="1" t="str">
        <f t="shared" si="0"/>
        <v>Spontane_Hors brule</v>
      </c>
      <c r="G15" s="1">
        <v>8.24</v>
      </c>
      <c r="H15" s="1">
        <v>7.62</v>
      </c>
      <c r="I15" s="1">
        <v>21.9792275</v>
      </c>
      <c r="J15" s="1">
        <v>1.0632365196943201</v>
      </c>
      <c r="K15" s="1">
        <v>83</v>
      </c>
      <c r="L15" s="1">
        <v>21.809113025665201</v>
      </c>
      <c r="M15" s="1">
        <v>11.8</v>
      </c>
      <c r="N15" s="1">
        <v>11.1</v>
      </c>
      <c r="O15" s="1">
        <v>20.399999999999999</v>
      </c>
      <c r="P15" s="1">
        <v>32.880000000000003</v>
      </c>
      <c r="Q15" s="1">
        <v>0.44180000000000003</v>
      </c>
      <c r="R15" s="1">
        <v>2.4E-2</v>
      </c>
      <c r="S15" s="1">
        <v>0.21340000000000001</v>
      </c>
      <c r="T15" s="1">
        <v>127</v>
      </c>
      <c r="U15" s="1">
        <v>112</v>
      </c>
      <c r="V15" s="1">
        <v>761</v>
      </c>
    </row>
    <row r="16" spans="1:22" x14ac:dyDescent="0.35">
      <c r="A16" s="1" t="s">
        <v>21</v>
      </c>
      <c r="B16" s="1">
        <v>15</v>
      </c>
      <c r="C16" s="1">
        <v>1</v>
      </c>
      <c r="D16" s="1" t="s">
        <v>158</v>
      </c>
      <c r="E16" s="1" t="s">
        <v>156</v>
      </c>
      <c r="F16" s="1" t="str">
        <f t="shared" si="0"/>
        <v>Spontane_Brule</v>
      </c>
      <c r="G16" s="1">
        <v>8.0500000000000007</v>
      </c>
      <c r="H16" s="1">
        <v>7.67</v>
      </c>
      <c r="I16" s="1">
        <v>9.0410234500000008</v>
      </c>
      <c r="J16" s="1">
        <v>2.0648357272148101</v>
      </c>
      <c r="K16" s="1">
        <v>262</v>
      </c>
      <c r="L16" s="1">
        <v>59.510021209716797</v>
      </c>
      <c r="M16" s="1">
        <v>28.1</v>
      </c>
      <c r="N16" s="1">
        <v>13.6</v>
      </c>
      <c r="O16" s="1">
        <v>48.6</v>
      </c>
      <c r="P16" s="1">
        <v>37.07</v>
      </c>
      <c r="Q16" s="1">
        <v>0.37580000000000002</v>
      </c>
      <c r="R16" s="1">
        <v>2.5100000000000001E-2</v>
      </c>
      <c r="S16" s="1">
        <v>0.17879999999999999</v>
      </c>
      <c r="T16" s="1">
        <v>101</v>
      </c>
      <c r="U16" s="1">
        <v>134</v>
      </c>
      <c r="V16" s="1">
        <v>765</v>
      </c>
    </row>
    <row r="17" spans="1:22" x14ac:dyDescent="0.35">
      <c r="A17" s="1" t="s">
        <v>22</v>
      </c>
      <c r="B17" s="1">
        <v>16</v>
      </c>
      <c r="C17" s="1">
        <v>1</v>
      </c>
      <c r="D17" s="1" t="s">
        <v>158</v>
      </c>
      <c r="E17" s="1" t="s">
        <v>157</v>
      </c>
      <c r="F17" s="1" t="str">
        <f t="shared" si="0"/>
        <v>Spontane_Hors brule</v>
      </c>
      <c r="G17" s="1">
        <v>7.99</v>
      </c>
      <c r="H17" s="1">
        <v>7.57</v>
      </c>
      <c r="I17" s="1">
        <v>10.068312300000001</v>
      </c>
      <c r="J17" s="1">
        <v>2.5740545988082801</v>
      </c>
      <c r="K17" s="1">
        <v>246</v>
      </c>
      <c r="L17" s="1">
        <v>69.523820877075195</v>
      </c>
      <c r="M17" s="1">
        <v>40</v>
      </c>
      <c r="N17" s="1">
        <v>15.5</v>
      </c>
      <c r="O17" s="1">
        <v>69.2</v>
      </c>
      <c r="P17" s="1">
        <v>38.909999999999997</v>
      </c>
      <c r="Q17" s="1">
        <v>0.48880000000000001</v>
      </c>
      <c r="R17" s="1">
        <v>2.5100000000000001E-2</v>
      </c>
      <c r="S17" s="1">
        <v>0.15679999999999999</v>
      </c>
      <c r="T17" s="1">
        <v>103</v>
      </c>
      <c r="U17" s="1">
        <v>122</v>
      </c>
      <c r="V17" s="1">
        <v>775</v>
      </c>
    </row>
    <row r="18" spans="1:22" x14ac:dyDescent="0.35">
      <c r="A18" s="1" t="s">
        <v>23</v>
      </c>
      <c r="B18" s="1">
        <v>17</v>
      </c>
      <c r="C18" s="1">
        <v>2</v>
      </c>
      <c r="D18" s="1" t="s">
        <v>158</v>
      </c>
      <c r="E18" s="1" t="s">
        <v>156</v>
      </c>
      <c r="F18" s="1" t="str">
        <f t="shared" si="0"/>
        <v>Spontane_Brule</v>
      </c>
      <c r="G18" s="1">
        <v>7.95</v>
      </c>
      <c r="H18" s="1">
        <v>7.44</v>
      </c>
      <c r="I18" s="1">
        <v>14.788471700000001</v>
      </c>
      <c r="J18" s="1">
        <v>6.0013437271118102</v>
      </c>
      <c r="K18" s="1">
        <v>539</v>
      </c>
      <c r="L18" s="1">
        <v>126.62119865417399</v>
      </c>
      <c r="M18" s="1">
        <v>61.9</v>
      </c>
      <c r="N18" s="1">
        <v>10.3</v>
      </c>
      <c r="O18" s="1">
        <v>107</v>
      </c>
      <c r="P18" s="1">
        <v>50.69</v>
      </c>
      <c r="Q18" s="1">
        <v>1.5189999999999999</v>
      </c>
      <c r="R18" s="1">
        <v>2.1100000000000001E-2</v>
      </c>
      <c r="S18" s="1">
        <v>0.36059999999999998</v>
      </c>
      <c r="T18" s="1">
        <v>327</v>
      </c>
      <c r="U18" s="1">
        <v>330</v>
      </c>
      <c r="V18" s="1">
        <v>343</v>
      </c>
    </row>
    <row r="19" spans="1:22" x14ac:dyDescent="0.35">
      <c r="A19" s="1" t="s">
        <v>24</v>
      </c>
      <c r="B19" s="1">
        <v>18</v>
      </c>
      <c r="C19" s="1">
        <v>2</v>
      </c>
      <c r="D19" s="1" t="s">
        <v>158</v>
      </c>
      <c r="E19" s="1" t="s">
        <v>157</v>
      </c>
      <c r="F19" s="1" t="str">
        <f t="shared" si="0"/>
        <v>Spontane_Hors brule</v>
      </c>
      <c r="G19" s="1">
        <v>7.92</v>
      </c>
      <c r="H19" s="1">
        <v>7.4</v>
      </c>
      <c r="I19" s="1">
        <v>17.8808829</v>
      </c>
      <c r="J19" s="1">
        <v>7.4430793523788399</v>
      </c>
      <c r="K19" s="1">
        <v>532</v>
      </c>
      <c r="L19" s="1">
        <v>146.85718536376899</v>
      </c>
      <c r="M19" s="1">
        <v>83</v>
      </c>
      <c r="N19" s="1">
        <v>11.2</v>
      </c>
      <c r="O19" s="1">
        <v>144</v>
      </c>
      <c r="P19" s="1">
        <v>54.79</v>
      </c>
      <c r="Q19" s="1">
        <v>1.7949999999999999</v>
      </c>
      <c r="R19" s="1">
        <v>3.2899999999999999E-2</v>
      </c>
      <c r="S19" s="1">
        <v>0.39479999999999998</v>
      </c>
      <c r="T19" s="1">
        <v>302</v>
      </c>
      <c r="U19" s="1">
        <v>349</v>
      </c>
      <c r="V19" s="1">
        <v>349</v>
      </c>
    </row>
    <row r="20" spans="1:22" x14ac:dyDescent="0.35">
      <c r="A20" s="1" t="s">
        <v>25</v>
      </c>
      <c r="B20" s="1">
        <v>19</v>
      </c>
      <c r="C20" s="1">
        <v>2</v>
      </c>
      <c r="D20" s="1" t="s">
        <v>158</v>
      </c>
      <c r="E20" s="1" t="s">
        <v>156</v>
      </c>
      <c r="F20" s="1" t="str">
        <f t="shared" si="0"/>
        <v>Spontane_Brule</v>
      </c>
      <c r="G20" s="1" t="s">
        <v>26</v>
      </c>
      <c r="H20" s="1" t="s">
        <v>26</v>
      </c>
      <c r="I20" s="1" t="s">
        <v>26</v>
      </c>
      <c r="J20" s="1">
        <v>7.4124652147293002</v>
      </c>
      <c r="K20" s="1">
        <v>648</v>
      </c>
      <c r="L20" s="1">
        <v>157.77546882629301</v>
      </c>
      <c r="M20" s="1">
        <v>80</v>
      </c>
      <c r="N20" s="1">
        <v>10.8</v>
      </c>
      <c r="O20" s="1">
        <v>138</v>
      </c>
      <c r="P20" s="1">
        <v>52.15</v>
      </c>
      <c r="Q20" s="1">
        <v>1.3029999999999999</v>
      </c>
      <c r="R20" s="1">
        <v>2.4199999999999999E-2</v>
      </c>
      <c r="S20" s="1">
        <v>0.31369999999999998</v>
      </c>
      <c r="T20" s="1">
        <v>276</v>
      </c>
      <c r="U20" s="1">
        <v>299</v>
      </c>
      <c r="V20" s="1">
        <v>425</v>
      </c>
    </row>
    <row r="21" spans="1:22" x14ac:dyDescent="0.35">
      <c r="A21" s="1" t="s">
        <v>27</v>
      </c>
      <c r="B21" s="1">
        <v>20</v>
      </c>
      <c r="C21" s="1">
        <v>2</v>
      </c>
      <c r="D21" s="1" t="s">
        <v>158</v>
      </c>
      <c r="E21" s="1" t="s">
        <v>157</v>
      </c>
      <c r="F21" s="1" t="str">
        <f t="shared" si="0"/>
        <v>Spontane_Hors brule</v>
      </c>
      <c r="G21" s="1">
        <v>7.97</v>
      </c>
      <c r="H21" s="1">
        <v>7.58</v>
      </c>
      <c r="I21" s="1">
        <v>12.6187696</v>
      </c>
      <c r="J21" s="1">
        <v>5.1573401689529401</v>
      </c>
      <c r="K21" s="1">
        <v>672</v>
      </c>
      <c r="L21" s="1">
        <v>136.39333724975501</v>
      </c>
      <c r="M21" s="1">
        <v>55.8</v>
      </c>
      <c r="N21" s="1">
        <v>10.8</v>
      </c>
      <c r="O21" s="1">
        <v>96.5</v>
      </c>
      <c r="P21" s="1">
        <v>46.06</v>
      </c>
      <c r="Q21" s="1">
        <v>1.464</v>
      </c>
      <c r="R21" s="1">
        <v>3.1399999999999997E-2</v>
      </c>
      <c r="S21" s="1">
        <v>0.31950000000000001</v>
      </c>
      <c r="T21" s="1">
        <v>306</v>
      </c>
      <c r="U21" s="1">
        <v>301</v>
      </c>
      <c r="V21" s="1">
        <v>393</v>
      </c>
    </row>
    <row r="22" spans="1:22" x14ac:dyDescent="0.35">
      <c r="A22" s="1" t="s">
        <v>28</v>
      </c>
      <c r="B22" s="1">
        <v>21</v>
      </c>
      <c r="C22" s="1">
        <v>2</v>
      </c>
      <c r="D22" s="1" t="s">
        <v>158</v>
      </c>
      <c r="E22" s="1" t="s">
        <v>156</v>
      </c>
      <c r="F22" s="1" t="str">
        <f t="shared" si="0"/>
        <v>Spontane_Brule</v>
      </c>
      <c r="G22" s="1">
        <v>8.01</v>
      </c>
      <c r="H22" s="1">
        <v>7.61</v>
      </c>
      <c r="I22" s="1">
        <v>9.7159561399999994</v>
      </c>
      <c r="J22" s="1">
        <v>6.1284595727920497</v>
      </c>
      <c r="K22" s="1">
        <v>647</v>
      </c>
      <c r="L22" s="1">
        <v>141.31598472595201</v>
      </c>
      <c r="M22" s="1">
        <v>63.7</v>
      </c>
      <c r="N22" s="1">
        <v>10.4</v>
      </c>
      <c r="O22" s="1">
        <v>110</v>
      </c>
      <c r="P22" s="1">
        <v>48.38</v>
      </c>
      <c r="Q22" s="1">
        <v>1.105</v>
      </c>
      <c r="R22" s="1">
        <v>2.1399999999999999E-2</v>
      </c>
      <c r="S22" s="1">
        <v>0.29599999999999999</v>
      </c>
      <c r="T22" s="1">
        <v>235</v>
      </c>
      <c r="U22" s="1">
        <v>325</v>
      </c>
      <c r="V22" s="1">
        <v>440</v>
      </c>
    </row>
    <row r="23" spans="1:22" x14ac:dyDescent="0.35">
      <c r="A23" s="1" t="s">
        <v>29</v>
      </c>
      <c r="B23" s="1">
        <v>22</v>
      </c>
      <c r="C23" s="1">
        <v>2</v>
      </c>
      <c r="D23" s="1" t="s">
        <v>158</v>
      </c>
      <c r="E23" s="1" t="s">
        <v>157</v>
      </c>
      <c r="F23" s="1" t="str">
        <f t="shared" si="0"/>
        <v>Spontane_Hors brule</v>
      </c>
      <c r="G23" s="1">
        <v>7.88</v>
      </c>
      <c r="H23" s="1">
        <v>7.52</v>
      </c>
      <c r="I23" s="1">
        <v>12.104866700000001</v>
      </c>
      <c r="J23" s="1">
        <v>7.08440661430358</v>
      </c>
      <c r="K23" s="1">
        <v>650</v>
      </c>
      <c r="L23" s="1">
        <v>150.053529739379</v>
      </c>
      <c r="M23" s="1">
        <v>72.099999999999994</v>
      </c>
      <c r="N23" s="1">
        <v>10.199999999999999</v>
      </c>
      <c r="O23" s="1">
        <v>125</v>
      </c>
      <c r="P23" s="1">
        <v>51</v>
      </c>
      <c r="Q23" s="1">
        <v>1.2430000000000001</v>
      </c>
      <c r="R23" s="1">
        <v>2.92E-2</v>
      </c>
      <c r="S23" s="1">
        <v>0.33650000000000002</v>
      </c>
      <c r="T23" s="1">
        <v>229</v>
      </c>
      <c r="U23" s="1">
        <v>281</v>
      </c>
      <c r="V23" s="1">
        <v>490</v>
      </c>
    </row>
    <row r="24" spans="1:22" x14ac:dyDescent="0.35">
      <c r="A24" s="1" t="s">
        <v>30</v>
      </c>
      <c r="B24" s="1">
        <v>23</v>
      </c>
      <c r="C24" s="1">
        <v>2</v>
      </c>
      <c r="D24" s="1" t="s">
        <v>158</v>
      </c>
      <c r="E24" s="1" t="s">
        <v>156</v>
      </c>
      <c r="F24" s="1" t="str">
        <f t="shared" si="0"/>
        <v>Spontane_Brule</v>
      </c>
      <c r="G24" s="1">
        <v>7.88</v>
      </c>
      <c r="H24" s="1">
        <v>7.43</v>
      </c>
      <c r="I24" s="1">
        <v>23.188413400000002</v>
      </c>
      <c r="J24" s="1">
        <v>8.6571222543716395</v>
      </c>
      <c r="K24" s="1">
        <v>651</v>
      </c>
      <c r="L24" s="1">
        <v>178.206233978271</v>
      </c>
      <c r="M24" s="1">
        <v>100</v>
      </c>
      <c r="N24" s="1">
        <v>11.6</v>
      </c>
      <c r="O24" s="1">
        <v>173</v>
      </c>
      <c r="P24" s="1">
        <v>51.58</v>
      </c>
      <c r="Q24" s="1">
        <v>1.8160000000000001</v>
      </c>
      <c r="R24" s="1">
        <v>3.2800000000000003E-2</v>
      </c>
      <c r="S24" s="1">
        <v>0.38100000000000001</v>
      </c>
      <c r="T24" s="1">
        <v>237</v>
      </c>
      <c r="U24" s="1">
        <v>234</v>
      </c>
      <c r="V24" s="1">
        <v>529</v>
      </c>
    </row>
    <row r="25" spans="1:22" x14ac:dyDescent="0.35">
      <c r="A25" s="1" t="s">
        <v>31</v>
      </c>
      <c r="B25" s="1">
        <v>24</v>
      </c>
      <c r="C25" s="1">
        <v>2</v>
      </c>
      <c r="D25" s="1" t="s">
        <v>158</v>
      </c>
      <c r="E25" s="1" t="s">
        <v>157</v>
      </c>
      <c r="F25" s="1" t="str">
        <f t="shared" si="0"/>
        <v>Spontane_Hors brule</v>
      </c>
      <c r="G25" s="1">
        <v>7.77</v>
      </c>
      <c r="H25" s="1">
        <v>7.34</v>
      </c>
      <c r="I25" s="1">
        <v>27.245674399999999</v>
      </c>
      <c r="J25" s="1">
        <v>10.192677974700899</v>
      </c>
      <c r="K25" s="1">
        <v>441</v>
      </c>
      <c r="L25" s="1">
        <v>158.451595306396</v>
      </c>
      <c r="M25" s="1">
        <v>106</v>
      </c>
      <c r="N25" s="1">
        <v>10.4</v>
      </c>
      <c r="O25" s="1">
        <v>183</v>
      </c>
      <c r="P25" s="1">
        <v>60.59</v>
      </c>
      <c r="Q25" s="1">
        <v>2.0110000000000001</v>
      </c>
      <c r="R25" s="1">
        <v>3.4000000000000002E-2</v>
      </c>
      <c r="S25" s="1">
        <v>0.65010000000000001</v>
      </c>
      <c r="T25" s="1">
        <v>342</v>
      </c>
      <c r="U25" s="1">
        <v>301</v>
      </c>
      <c r="V25" s="1">
        <v>357</v>
      </c>
    </row>
    <row r="26" spans="1:22" x14ac:dyDescent="0.35">
      <c r="A26" s="1" t="s">
        <v>32</v>
      </c>
      <c r="B26" s="1">
        <v>25</v>
      </c>
      <c r="C26" s="1">
        <v>2</v>
      </c>
      <c r="D26" s="1" t="s">
        <v>155</v>
      </c>
      <c r="E26" s="1" t="s">
        <v>156</v>
      </c>
      <c r="F26" s="1" t="str">
        <f t="shared" si="0"/>
        <v>Plante_Brule</v>
      </c>
      <c r="G26" s="1">
        <v>8.3000000000000007</v>
      </c>
      <c r="H26" s="1">
        <v>7.23</v>
      </c>
      <c r="I26" s="1">
        <v>2.3383091299999998</v>
      </c>
      <c r="J26" s="1">
        <v>2.7817678451538002</v>
      </c>
      <c r="K26" s="1">
        <v>75</v>
      </c>
      <c r="L26" s="1">
        <v>39.5433187484741</v>
      </c>
      <c r="M26" s="1">
        <v>30.5</v>
      </c>
      <c r="N26" s="1">
        <v>11</v>
      </c>
      <c r="O26" s="1">
        <v>52.8</v>
      </c>
      <c r="P26" s="1">
        <v>61.09</v>
      </c>
      <c r="Q26" s="1">
        <v>1.5609999999999999</v>
      </c>
      <c r="R26" s="1">
        <v>1.5100000000000001E-2</v>
      </c>
      <c r="S26" s="1">
        <v>0.80820000000000003</v>
      </c>
      <c r="T26" s="1">
        <v>442</v>
      </c>
      <c r="U26" s="1">
        <v>459</v>
      </c>
      <c r="V26" s="1">
        <v>99</v>
      </c>
    </row>
    <row r="27" spans="1:22" x14ac:dyDescent="0.35">
      <c r="A27" s="1" t="s">
        <v>33</v>
      </c>
      <c r="B27" s="1">
        <v>26</v>
      </c>
      <c r="C27" s="1">
        <v>2</v>
      </c>
      <c r="D27" s="1" t="s">
        <v>155</v>
      </c>
      <c r="E27" s="1" t="s">
        <v>157</v>
      </c>
      <c r="F27" s="1" t="str">
        <f t="shared" si="0"/>
        <v>Plante_Hors brule</v>
      </c>
      <c r="G27" s="1">
        <v>8</v>
      </c>
      <c r="H27" s="1">
        <v>7.15</v>
      </c>
      <c r="I27" s="1">
        <v>5.3656496200000001</v>
      </c>
      <c r="J27" s="1">
        <v>4.8448428511619497</v>
      </c>
      <c r="K27" s="1">
        <v>91</v>
      </c>
      <c r="L27" s="1">
        <v>63.7886190414428</v>
      </c>
      <c r="M27" s="1">
        <v>52.9</v>
      </c>
      <c r="N27" s="1">
        <v>10.9</v>
      </c>
      <c r="O27" s="1">
        <v>91.5</v>
      </c>
      <c r="P27" s="1">
        <v>60.37</v>
      </c>
      <c r="Q27" s="1">
        <v>1.76</v>
      </c>
      <c r="R27" s="1">
        <v>3.7699999999999997E-2</v>
      </c>
      <c r="S27" s="1">
        <v>0.84640000000000004</v>
      </c>
      <c r="T27" s="1">
        <v>457</v>
      </c>
      <c r="U27" s="1">
        <v>427</v>
      </c>
      <c r="V27" s="1">
        <v>116</v>
      </c>
    </row>
    <row r="28" spans="1:22" x14ac:dyDescent="0.35">
      <c r="A28" s="1" t="s">
        <v>34</v>
      </c>
      <c r="B28" s="1">
        <v>27</v>
      </c>
      <c r="C28" s="1">
        <v>2</v>
      </c>
      <c r="D28" s="1" t="s">
        <v>155</v>
      </c>
      <c r="E28" s="1" t="s">
        <v>156</v>
      </c>
      <c r="F28" s="1" t="str">
        <f t="shared" si="0"/>
        <v>Plante_Brule</v>
      </c>
      <c r="G28" s="1">
        <v>8.16</v>
      </c>
      <c r="H28" s="1">
        <v>7.18</v>
      </c>
      <c r="I28" s="1">
        <v>2.3930372599999998</v>
      </c>
      <c r="J28" s="1">
        <v>2.9351669549941999</v>
      </c>
      <c r="K28" s="1">
        <v>62</v>
      </c>
      <c r="L28" s="1">
        <v>38.268487453460601</v>
      </c>
      <c r="M28" s="1">
        <v>30.8</v>
      </c>
      <c r="N28" s="1">
        <v>10.5</v>
      </c>
      <c r="O28" s="1">
        <v>53.3</v>
      </c>
      <c r="P28" s="1">
        <v>59.97</v>
      </c>
      <c r="Q28" s="1">
        <v>1.968</v>
      </c>
      <c r="R28" s="1">
        <v>0.02</v>
      </c>
      <c r="S28" s="1">
        <v>0.85619999999999996</v>
      </c>
      <c r="T28" s="1">
        <v>424</v>
      </c>
      <c r="U28" s="1">
        <v>496</v>
      </c>
      <c r="V28" s="1">
        <v>80</v>
      </c>
    </row>
    <row r="29" spans="1:22" x14ac:dyDescent="0.35">
      <c r="A29" s="1" t="s">
        <v>35</v>
      </c>
      <c r="B29" s="1">
        <v>28</v>
      </c>
      <c r="C29" s="1">
        <v>2</v>
      </c>
      <c r="D29" s="1" t="s">
        <v>155</v>
      </c>
      <c r="E29" s="1" t="s">
        <v>157</v>
      </c>
      <c r="F29" s="1" t="str">
        <f t="shared" si="0"/>
        <v>Plante_Hors brule</v>
      </c>
      <c r="G29" s="1">
        <v>8.18</v>
      </c>
      <c r="H29" s="1">
        <v>7.23</v>
      </c>
      <c r="I29" s="1">
        <v>2.5693333200000001</v>
      </c>
      <c r="J29" s="1">
        <v>2.97800540924072</v>
      </c>
      <c r="K29" s="1">
        <v>95</v>
      </c>
      <c r="L29" s="1">
        <v>43.920254707336397</v>
      </c>
      <c r="M29" s="1">
        <v>32.5</v>
      </c>
      <c r="N29" s="1">
        <v>10.9</v>
      </c>
      <c r="O29" s="1">
        <v>56.2</v>
      </c>
      <c r="P29" s="1">
        <v>60.4</v>
      </c>
      <c r="Q29" s="1">
        <v>1.984</v>
      </c>
      <c r="R29" s="1">
        <v>2.2499999999999999E-2</v>
      </c>
      <c r="S29" s="1">
        <v>0.81899999999999995</v>
      </c>
      <c r="T29" s="1">
        <v>461</v>
      </c>
      <c r="U29" s="1">
        <v>438</v>
      </c>
      <c r="V29" s="1">
        <v>101</v>
      </c>
    </row>
    <row r="30" spans="1:22" x14ac:dyDescent="0.35">
      <c r="A30" s="1" t="s">
        <v>36</v>
      </c>
      <c r="B30" s="1">
        <v>29</v>
      </c>
      <c r="C30" s="1">
        <v>2</v>
      </c>
      <c r="D30" s="1" t="s">
        <v>155</v>
      </c>
      <c r="E30" s="1" t="s">
        <v>156</v>
      </c>
      <c r="F30" s="1" t="str">
        <f t="shared" si="0"/>
        <v>Plante_Brule</v>
      </c>
      <c r="G30" s="1">
        <v>8.2100000000000009</v>
      </c>
      <c r="H30" s="1">
        <v>7.36</v>
      </c>
      <c r="I30" s="1">
        <v>5.7892171699999997</v>
      </c>
      <c r="J30" s="1">
        <v>3.7801697850227298</v>
      </c>
      <c r="K30" s="1">
        <v>379</v>
      </c>
      <c r="L30" s="1">
        <v>79.41</v>
      </c>
      <c r="M30" s="1">
        <v>33.9</v>
      </c>
      <c r="N30" s="1">
        <v>8.9700000000000006</v>
      </c>
      <c r="O30" s="1">
        <v>58.6</v>
      </c>
      <c r="P30" s="1">
        <v>56.37</v>
      </c>
      <c r="Q30" s="1">
        <v>1.599</v>
      </c>
      <c r="R30" s="1">
        <v>1.7299999999999999E-2</v>
      </c>
      <c r="S30" s="1">
        <v>0.62190000000000001</v>
      </c>
      <c r="T30" s="1">
        <v>306</v>
      </c>
      <c r="U30" s="1">
        <v>499</v>
      </c>
      <c r="V30" s="1">
        <v>195</v>
      </c>
    </row>
    <row r="31" spans="1:22" x14ac:dyDescent="0.35">
      <c r="A31" s="1" t="s">
        <v>37</v>
      </c>
      <c r="B31" s="1">
        <v>30</v>
      </c>
      <c r="C31" s="1">
        <v>2</v>
      </c>
      <c r="D31" s="1" t="s">
        <v>155</v>
      </c>
      <c r="E31" s="1" t="s">
        <v>157</v>
      </c>
      <c r="F31" s="1" t="str">
        <f t="shared" si="0"/>
        <v>Plante_Hors brule</v>
      </c>
      <c r="G31" s="1">
        <v>8.11</v>
      </c>
      <c r="H31" s="1">
        <v>7.34</v>
      </c>
      <c r="I31" s="1">
        <v>3.95947162</v>
      </c>
      <c r="J31" s="1">
        <v>3.6886253952980002</v>
      </c>
      <c r="K31" s="1">
        <v>342</v>
      </c>
      <c r="L31" s="1">
        <v>79.611563682556096</v>
      </c>
      <c r="M31" s="1">
        <v>38.6</v>
      </c>
      <c r="N31" s="1">
        <v>10.5</v>
      </c>
      <c r="O31" s="1">
        <v>66.8</v>
      </c>
      <c r="P31" s="1">
        <v>55.91</v>
      </c>
      <c r="Q31" s="1">
        <v>1.591</v>
      </c>
      <c r="R31" s="1">
        <v>2.07E-2</v>
      </c>
      <c r="S31" s="1">
        <v>0.57879999999999998</v>
      </c>
      <c r="T31" s="1">
        <v>344</v>
      </c>
      <c r="U31" s="1">
        <v>467</v>
      </c>
      <c r="V31" s="1">
        <v>189</v>
      </c>
    </row>
    <row r="32" spans="1:22" x14ac:dyDescent="0.35">
      <c r="A32" s="1" t="s">
        <v>38</v>
      </c>
      <c r="B32" s="1">
        <v>31</v>
      </c>
      <c r="C32" s="1">
        <v>2</v>
      </c>
      <c r="D32" s="1" t="s">
        <v>155</v>
      </c>
      <c r="E32" s="1" t="s">
        <v>156</v>
      </c>
      <c r="F32" s="1" t="str">
        <f t="shared" si="0"/>
        <v>Plante_Brule</v>
      </c>
      <c r="G32" s="1">
        <v>8.1199999999999992</v>
      </c>
      <c r="H32" s="1">
        <v>7.37</v>
      </c>
      <c r="I32" s="1">
        <v>7.2144407299999997</v>
      </c>
      <c r="J32" s="1">
        <v>3.89129906892776</v>
      </c>
      <c r="K32" s="1">
        <v>347</v>
      </c>
      <c r="L32" s="1">
        <v>79.805965423583899</v>
      </c>
      <c r="M32" s="1">
        <v>38.200000000000003</v>
      </c>
      <c r="N32" s="1">
        <v>9.82</v>
      </c>
      <c r="O32" s="1">
        <v>66.099999999999994</v>
      </c>
      <c r="P32" s="1">
        <v>57.24</v>
      </c>
      <c r="Q32" s="1">
        <v>1.6739999999999999</v>
      </c>
      <c r="R32" s="1">
        <v>1.4999999999999999E-2</v>
      </c>
      <c r="S32" s="1">
        <v>0.55679999999999996</v>
      </c>
      <c r="T32" s="1">
        <v>262</v>
      </c>
      <c r="U32" s="1">
        <v>529</v>
      </c>
      <c r="V32" s="1">
        <v>209</v>
      </c>
    </row>
    <row r="33" spans="1:22" x14ac:dyDescent="0.35">
      <c r="A33" s="1" t="s">
        <v>39</v>
      </c>
      <c r="B33" s="1">
        <v>32</v>
      </c>
      <c r="C33" s="1">
        <v>2</v>
      </c>
      <c r="D33" s="1" t="s">
        <v>155</v>
      </c>
      <c r="E33" s="1" t="s">
        <v>157</v>
      </c>
      <c r="F33" s="1" t="str">
        <f t="shared" si="0"/>
        <v>Plante_Hors brule</v>
      </c>
      <c r="G33" s="1">
        <v>8.14</v>
      </c>
      <c r="H33" s="1">
        <v>7.36</v>
      </c>
      <c r="I33" s="1">
        <v>4.6980826999999996</v>
      </c>
      <c r="J33" s="1">
        <v>3.9829415082931501</v>
      </c>
      <c r="K33" s="1">
        <v>363</v>
      </c>
      <c r="L33" s="1">
        <v>85.5661296844482</v>
      </c>
      <c r="M33" s="1">
        <v>42</v>
      </c>
      <c r="N33" s="1">
        <v>10.5</v>
      </c>
      <c r="O33" s="1">
        <v>72.7</v>
      </c>
      <c r="P33" s="1">
        <v>56.84</v>
      </c>
      <c r="Q33" s="1">
        <v>1.698</v>
      </c>
      <c r="R33" s="1">
        <v>2.4400000000000002E-2</v>
      </c>
      <c r="S33" s="1">
        <v>0.52639999999999998</v>
      </c>
      <c r="T33" s="1">
        <v>305</v>
      </c>
      <c r="U33" s="1">
        <v>505</v>
      </c>
      <c r="V33" s="1">
        <v>190</v>
      </c>
    </row>
    <row r="34" spans="1:22" x14ac:dyDescent="0.35">
      <c r="A34" s="1" t="s">
        <v>40</v>
      </c>
      <c r="B34" s="1">
        <v>33</v>
      </c>
      <c r="C34" s="1">
        <v>3</v>
      </c>
      <c r="D34" s="1" t="s">
        <v>155</v>
      </c>
      <c r="E34" s="1" t="s">
        <v>156</v>
      </c>
      <c r="F34" s="1" t="str">
        <f t="shared" si="0"/>
        <v>Plante_Brule</v>
      </c>
      <c r="G34" s="1">
        <v>8.3699999999999992</v>
      </c>
      <c r="H34" s="1">
        <v>7.6</v>
      </c>
      <c r="I34" s="1">
        <v>10.087400300000001</v>
      </c>
      <c r="J34" s="1">
        <v>1.859302223</v>
      </c>
      <c r="K34" s="1">
        <v>531</v>
      </c>
      <c r="L34" s="1">
        <v>85.732021329999995</v>
      </c>
      <c r="M34" s="1">
        <v>22</v>
      </c>
      <c r="N34" s="1">
        <v>12</v>
      </c>
      <c r="O34" s="1">
        <v>38.1</v>
      </c>
      <c r="P34" s="1">
        <v>41.74</v>
      </c>
      <c r="Q34" s="1">
        <v>2.2850000000000001</v>
      </c>
      <c r="R34" s="1">
        <v>3.0800000000000001E-2</v>
      </c>
      <c r="S34" s="1">
        <v>0.65059999999999996</v>
      </c>
      <c r="T34" s="1">
        <v>275</v>
      </c>
      <c r="U34" s="1">
        <v>400</v>
      </c>
      <c r="V34" s="1">
        <v>325</v>
      </c>
    </row>
    <row r="35" spans="1:22" x14ac:dyDescent="0.35">
      <c r="A35" s="1" t="s">
        <v>41</v>
      </c>
      <c r="B35" s="1">
        <v>34</v>
      </c>
      <c r="C35" s="1">
        <v>3</v>
      </c>
      <c r="D35" s="1" t="s">
        <v>155</v>
      </c>
      <c r="E35" s="1" t="s">
        <v>157</v>
      </c>
      <c r="F35" s="1" t="str">
        <f t="shared" si="0"/>
        <v>Plante_Hors brule</v>
      </c>
      <c r="G35" s="1">
        <v>8.24</v>
      </c>
      <c r="H35" s="1">
        <v>7.58</v>
      </c>
      <c r="I35" s="1">
        <v>12.6253305</v>
      </c>
      <c r="J35" s="1">
        <v>1.8873238560000001</v>
      </c>
      <c r="K35" s="1">
        <v>513</v>
      </c>
      <c r="L35" s="1">
        <v>83.484725949999998</v>
      </c>
      <c r="M35" s="1">
        <v>21.9</v>
      </c>
      <c r="N35" s="1">
        <v>12</v>
      </c>
      <c r="O35" s="1">
        <v>37.9</v>
      </c>
      <c r="P35" s="1">
        <v>42.08</v>
      </c>
      <c r="Q35" s="1">
        <v>2.419</v>
      </c>
      <c r="R35" s="1">
        <v>3.7100000000000001E-2</v>
      </c>
      <c r="S35" s="1">
        <v>0.63839999999999997</v>
      </c>
      <c r="T35" s="1">
        <v>287</v>
      </c>
      <c r="U35" s="1">
        <v>410</v>
      </c>
      <c r="V35" s="1">
        <v>303</v>
      </c>
    </row>
    <row r="36" spans="1:22" x14ac:dyDescent="0.35">
      <c r="A36" s="1" t="s">
        <v>42</v>
      </c>
      <c r="B36" s="1">
        <v>35</v>
      </c>
      <c r="C36" s="1">
        <v>3</v>
      </c>
      <c r="D36" s="1" t="s">
        <v>155</v>
      </c>
      <c r="E36" s="1" t="s">
        <v>156</v>
      </c>
      <c r="F36" s="1" t="str">
        <f t="shared" si="0"/>
        <v>Plante_Brule</v>
      </c>
      <c r="G36" s="1">
        <v>8.31</v>
      </c>
      <c r="H36" s="1">
        <v>7.54</v>
      </c>
      <c r="I36" s="1">
        <v>3.3919547900000002</v>
      </c>
      <c r="J36" s="1">
        <v>1.559379399</v>
      </c>
      <c r="K36" s="1">
        <v>471</v>
      </c>
      <c r="L36" s="1">
        <v>73.780941960000007</v>
      </c>
      <c r="M36" s="1">
        <v>17.3</v>
      </c>
      <c r="N36" s="1">
        <v>11</v>
      </c>
      <c r="O36" s="1">
        <v>29.9</v>
      </c>
      <c r="P36" s="1">
        <v>43.38</v>
      </c>
      <c r="Q36" s="1">
        <v>2.2709999999999999</v>
      </c>
      <c r="R36" s="1">
        <v>1.9699999999999999E-2</v>
      </c>
      <c r="S36" s="1">
        <v>0.7419</v>
      </c>
      <c r="T36" s="1">
        <v>300</v>
      </c>
      <c r="U36" s="1">
        <v>438</v>
      </c>
      <c r="V36" s="1">
        <v>262</v>
      </c>
    </row>
    <row r="37" spans="1:22" x14ac:dyDescent="0.35">
      <c r="A37" s="1" t="s">
        <v>43</v>
      </c>
      <c r="B37" s="1">
        <v>36</v>
      </c>
      <c r="C37" s="1">
        <v>3</v>
      </c>
      <c r="D37" s="1" t="s">
        <v>155</v>
      </c>
      <c r="E37" s="1" t="s">
        <v>157</v>
      </c>
      <c r="F37" s="1" t="str">
        <f t="shared" si="0"/>
        <v>Plante_Hors brule</v>
      </c>
      <c r="G37" s="1">
        <v>8.44</v>
      </c>
      <c r="H37" s="1">
        <v>7.51</v>
      </c>
      <c r="I37" s="1">
        <v>4.3866939599999997</v>
      </c>
      <c r="J37" s="1">
        <v>1.7101120949999999</v>
      </c>
      <c r="K37" s="1">
        <v>471</v>
      </c>
      <c r="L37" s="1">
        <v>77.0002985</v>
      </c>
      <c r="M37" s="1">
        <v>20.5</v>
      </c>
      <c r="N37" s="1">
        <v>12</v>
      </c>
      <c r="O37" s="1">
        <v>35.5</v>
      </c>
      <c r="P37" s="1">
        <v>43.61</v>
      </c>
      <c r="Q37" s="1">
        <v>2.339</v>
      </c>
      <c r="R37" s="1">
        <v>4.0500000000000001E-2</v>
      </c>
      <c r="S37" s="1">
        <v>0.69550000000000001</v>
      </c>
      <c r="T37" s="1">
        <v>299</v>
      </c>
      <c r="U37" s="1">
        <v>432</v>
      </c>
      <c r="V37" s="1">
        <v>269</v>
      </c>
    </row>
    <row r="38" spans="1:22" x14ac:dyDescent="0.35">
      <c r="A38" s="1" t="s">
        <v>44</v>
      </c>
      <c r="B38" s="1">
        <v>37</v>
      </c>
      <c r="C38" s="1">
        <v>3</v>
      </c>
      <c r="D38" s="1" t="s">
        <v>155</v>
      </c>
      <c r="E38" s="1" t="s">
        <v>156</v>
      </c>
      <c r="F38" s="1" t="str">
        <f t="shared" si="0"/>
        <v>Plante_Brule</v>
      </c>
      <c r="G38" s="1">
        <v>8.39</v>
      </c>
      <c r="H38" s="1">
        <v>7.65</v>
      </c>
      <c r="I38" s="1">
        <v>2.7139696600000001</v>
      </c>
      <c r="J38" s="1">
        <v>1.4258050920000001</v>
      </c>
      <c r="K38" s="1">
        <v>571</v>
      </c>
      <c r="L38" s="1">
        <v>83.303442000000004</v>
      </c>
      <c r="M38" s="1">
        <v>14.8</v>
      </c>
      <c r="N38" s="1">
        <v>10</v>
      </c>
      <c r="O38" s="1">
        <v>25.6</v>
      </c>
      <c r="P38" s="1">
        <v>41.54</v>
      </c>
      <c r="Q38" s="1">
        <v>1.8140000000000001</v>
      </c>
      <c r="R38" s="1">
        <v>2.2499999999999999E-2</v>
      </c>
      <c r="S38" s="1">
        <v>0.53969999999999996</v>
      </c>
      <c r="T38" s="1">
        <v>236</v>
      </c>
      <c r="U38" s="1">
        <v>507</v>
      </c>
      <c r="V38" s="1">
        <v>257</v>
      </c>
    </row>
    <row r="39" spans="1:22" x14ac:dyDescent="0.35">
      <c r="A39" s="1" t="s">
        <v>45</v>
      </c>
      <c r="B39" s="1">
        <v>38</v>
      </c>
      <c r="C39" s="1">
        <v>3</v>
      </c>
      <c r="D39" s="1" t="s">
        <v>155</v>
      </c>
      <c r="E39" s="1" t="s">
        <v>157</v>
      </c>
      <c r="F39" s="1" t="str">
        <f t="shared" si="0"/>
        <v>Plante_Hors brule</v>
      </c>
      <c r="G39" s="1">
        <v>8.43</v>
      </c>
      <c r="H39" s="1">
        <v>7.62</v>
      </c>
      <c r="I39" s="1">
        <v>2.7236646800000002</v>
      </c>
      <c r="J39" s="1">
        <v>1.555511206</v>
      </c>
      <c r="K39" s="1">
        <v>575</v>
      </c>
      <c r="L39" s="1">
        <v>86.471185680000005</v>
      </c>
      <c r="M39" s="1">
        <v>17.5</v>
      </c>
      <c r="N39" s="1">
        <v>11</v>
      </c>
      <c r="O39" s="1">
        <v>30.3</v>
      </c>
      <c r="P39" s="1">
        <v>41.75</v>
      </c>
      <c r="Q39" s="1">
        <v>1.7809999999999999</v>
      </c>
      <c r="R39" s="1">
        <v>3.9199999999999999E-2</v>
      </c>
      <c r="S39" s="1">
        <v>0.56769999999999998</v>
      </c>
      <c r="T39" s="1">
        <v>250</v>
      </c>
      <c r="U39" s="1">
        <v>502</v>
      </c>
      <c r="V39" s="1">
        <v>248</v>
      </c>
    </row>
    <row r="40" spans="1:22" x14ac:dyDescent="0.35">
      <c r="A40" s="1" t="s">
        <v>46</v>
      </c>
      <c r="B40" s="1">
        <v>39</v>
      </c>
      <c r="C40" s="1">
        <v>3</v>
      </c>
      <c r="D40" s="1" t="s">
        <v>155</v>
      </c>
      <c r="E40" s="1" t="s">
        <v>156</v>
      </c>
      <c r="F40" s="1" t="str">
        <f t="shared" si="0"/>
        <v>Plante_Brule</v>
      </c>
      <c r="G40" s="1">
        <v>8.2200000000000006</v>
      </c>
      <c r="H40" s="1">
        <v>7.44</v>
      </c>
      <c r="I40" s="1">
        <v>3.5562008000000001</v>
      </c>
      <c r="J40" s="1">
        <v>2.1095106010000002</v>
      </c>
      <c r="K40" s="1">
        <v>314</v>
      </c>
      <c r="L40" s="1">
        <v>61.494684220000003</v>
      </c>
      <c r="M40" s="1">
        <v>23.8</v>
      </c>
      <c r="N40" s="1">
        <v>11</v>
      </c>
      <c r="O40" s="1">
        <v>41.2</v>
      </c>
      <c r="P40" s="1">
        <v>48.43</v>
      </c>
      <c r="Q40" s="1">
        <v>3.71</v>
      </c>
      <c r="R40" s="1">
        <v>2.7400000000000001E-2</v>
      </c>
      <c r="S40" s="1">
        <v>0.92190000000000005</v>
      </c>
      <c r="T40" s="1">
        <v>410</v>
      </c>
      <c r="U40" s="1">
        <v>367</v>
      </c>
      <c r="V40" s="1">
        <v>223</v>
      </c>
    </row>
    <row r="41" spans="1:22" x14ac:dyDescent="0.35">
      <c r="A41" s="1" t="s">
        <v>47</v>
      </c>
      <c r="B41" s="1">
        <v>40</v>
      </c>
      <c r="C41" s="1">
        <v>3</v>
      </c>
      <c r="D41" s="1" t="s">
        <v>155</v>
      </c>
      <c r="E41" s="1" t="s">
        <v>157</v>
      </c>
      <c r="F41" s="1" t="str">
        <f t="shared" si="0"/>
        <v>Plante_Hors brule</v>
      </c>
      <c r="G41" s="1">
        <v>8.34</v>
      </c>
      <c r="H41" s="1">
        <v>7.51</v>
      </c>
      <c r="I41" s="1">
        <v>3.3898177899999999</v>
      </c>
      <c r="J41" s="1">
        <v>2.0894661550000002</v>
      </c>
      <c r="K41" s="1">
        <v>341</v>
      </c>
      <c r="L41" s="1">
        <v>66.558022500000007</v>
      </c>
      <c r="M41" s="1">
        <v>25.6</v>
      </c>
      <c r="N41" s="1">
        <v>12</v>
      </c>
      <c r="O41" s="1">
        <v>44.3</v>
      </c>
      <c r="P41" s="1">
        <v>46.48</v>
      </c>
      <c r="Q41" s="1">
        <v>3.65</v>
      </c>
      <c r="R41" s="1">
        <v>3.8100000000000002E-2</v>
      </c>
      <c r="S41" s="1">
        <v>0.76100000000000001</v>
      </c>
      <c r="T41" s="1">
        <v>390</v>
      </c>
      <c r="U41" s="1">
        <v>360</v>
      </c>
      <c r="V41" s="1">
        <v>250</v>
      </c>
    </row>
    <row r="42" spans="1:22" x14ac:dyDescent="0.35">
      <c r="A42" s="1" t="s">
        <v>48</v>
      </c>
      <c r="B42" s="1">
        <v>41</v>
      </c>
      <c r="C42" s="1">
        <v>3</v>
      </c>
      <c r="D42" s="1" t="s">
        <v>158</v>
      </c>
      <c r="E42" s="1" t="s">
        <v>156</v>
      </c>
      <c r="F42" s="1" t="str">
        <f t="shared" si="0"/>
        <v>Spontane_Brule</v>
      </c>
      <c r="G42" s="1">
        <v>8.01</v>
      </c>
      <c r="H42" s="1">
        <v>7.51</v>
      </c>
      <c r="I42" s="1">
        <v>20.312793500000002</v>
      </c>
      <c r="J42" s="1">
        <v>3.8035520909999998</v>
      </c>
      <c r="K42" s="1">
        <v>630</v>
      </c>
      <c r="L42" s="1">
        <v>116.7701435</v>
      </c>
      <c r="M42" s="1">
        <v>41.2</v>
      </c>
      <c r="N42" s="1">
        <v>11</v>
      </c>
      <c r="O42" s="1">
        <v>71.3</v>
      </c>
      <c r="P42" s="1">
        <v>45.01</v>
      </c>
      <c r="Q42" s="1">
        <v>1.869</v>
      </c>
      <c r="R42" s="1">
        <v>3.0099999999999998E-2</v>
      </c>
      <c r="S42" s="1">
        <v>0.46300000000000002</v>
      </c>
      <c r="T42" s="1">
        <v>308</v>
      </c>
      <c r="U42" s="1">
        <v>506</v>
      </c>
      <c r="V42" s="1">
        <v>186</v>
      </c>
    </row>
    <row r="43" spans="1:22" x14ac:dyDescent="0.35">
      <c r="A43" s="1" t="s">
        <v>49</v>
      </c>
      <c r="B43" s="1">
        <v>42</v>
      </c>
      <c r="C43" s="1">
        <v>3</v>
      </c>
      <c r="D43" s="1" t="s">
        <v>158</v>
      </c>
      <c r="E43" s="1" t="s">
        <v>157</v>
      </c>
      <c r="F43" s="1" t="str">
        <f t="shared" si="0"/>
        <v>Spontane_Hors brule</v>
      </c>
      <c r="G43" s="1">
        <v>8.18</v>
      </c>
      <c r="H43" s="1">
        <v>7.55</v>
      </c>
      <c r="I43" s="1">
        <v>6.2981289699999996</v>
      </c>
      <c r="J43" s="1">
        <v>2.5406113270000001</v>
      </c>
      <c r="K43" s="1">
        <v>687</v>
      </c>
      <c r="L43" s="1">
        <v>111.757822</v>
      </c>
      <c r="M43" s="1">
        <v>29.3</v>
      </c>
      <c r="N43" s="1">
        <v>12</v>
      </c>
      <c r="O43" s="1">
        <v>50.7</v>
      </c>
      <c r="P43" s="1">
        <v>42.04</v>
      </c>
      <c r="Q43" s="1">
        <v>1.8460000000000001</v>
      </c>
      <c r="R43" s="1">
        <v>3.5400000000000001E-2</v>
      </c>
      <c r="S43" s="1">
        <v>0.45800000000000002</v>
      </c>
      <c r="T43" s="1">
        <v>290</v>
      </c>
      <c r="U43" s="1">
        <v>532</v>
      </c>
      <c r="V43" s="1">
        <v>178</v>
      </c>
    </row>
    <row r="44" spans="1:22" x14ac:dyDescent="0.35">
      <c r="A44" s="1" t="s">
        <v>50</v>
      </c>
      <c r="B44" s="1">
        <v>43</v>
      </c>
      <c r="C44" s="1">
        <v>3</v>
      </c>
      <c r="D44" s="1" t="s">
        <v>158</v>
      </c>
      <c r="E44" s="1" t="s">
        <v>156</v>
      </c>
      <c r="F44" s="1" t="str">
        <f t="shared" si="0"/>
        <v>Spontane_Brule</v>
      </c>
      <c r="G44" s="1">
        <v>8.17</v>
      </c>
      <c r="H44" s="1">
        <v>7.72</v>
      </c>
      <c r="I44" s="1">
        <v>5.0344057299999996</v>
      </c>
      <c r="J44" s="1">
        <v>3.0171298979999999</v>
      </c>
      <c r="K44" s="1">
        <v>407</v>
      </c>
      <c r="L44" s="1">
        <v>82.636785509999996</v>
      </c>
      <c r="M44" s="1">
        <v>33.799999999999997</v>
      </c>
      <c r="N44" s="1">
        <v>11</v>
      </c>
      <c r="O44" s="1">
        <v>58.5</v>
      </c>
      <c r="P44" s="1">
        <v>35.909999999999997</v>
      </c>
      <c r="Q44" s="1">
        <v>1.925</v>
      </c>
      <c r="R44" s="1">
        <v>2.1600000000000001E-2</v>
      </c>
      <c r="S44" s="1">
        <v>0.2472</v>
      </c>
      <c r="T44" s="1">
        <v>196</v>
      </c>
      <c r="U44" s="1">
        <v>281</v>
      </c>
      <c r="V44" s="1">
        <v>523</v>
      </c>
    </row>
    <row r="45" spans="1:22" x14ac:dyDescent="0.35">
      <c r="A45" s="1" t="s">
        <v>51</v>
      </c>
      <c r="B45" s="1">
        <v>44</v>
      </c>
      <c r="C45" s="1">
        <v>3</v>
      </c>
      <c r="D45" s="1" t="s">
        <v>158</v>
      </c>
      <c r="E45" s="1" t="s">
        <v>157</v>
      </c>
      <c r="F45" s="1" t="str">
        <f t="shared" si="0"/>
        <v>Spontane_Hors brule</v>
      </c>
      <c r="G45" s="1">
        <v>8.11</v>
      </c>
      <c r="H45" s="1">
        <v>7.73</v>
      </c>
      <c r="I45" s="1">
        <v>4.8153276099999998</v>
      </c>
      <c r="J45" s="1">
        <v>3.089981377</v>
      </c>
      <c r="K45" s="1">
        <v>381</v>
      </c>
      <c r="L45" s="1">
        <v>81.550836559999993</v>
      </c>
      <c r="M45" s="1">
        <v>35.799999999999997</v>
      </c>
      <c r="N45" s="1">
        <v>12</v>
      </c>
      <c r="O45" s="1">
        <v>61.9</v>
      </c>
      <c r="P45" s="1">
        <v>36.270000000000003</v>
      </c>
      <c r="Q45" s="1">
        <v>2.34</v>
      </c>
      <c r="R45" s="1">
        <v>2.4E-2</v>
      </c>
      <c r="S45" s="1">
        <v>0.24629999999999999</v>
      </c>
      <c r="T45" s="1">
        <v>204</v>
      </c>
      <c r="U45" s="1">
        <v>296</v>
      </c>
      <c r="V45" s="1">
        <v>500</v>
      </c>
    </row>
    <row r="46" spans="1:22" x14ac:dyDescent="0.35">
      <c r="A46" s="1" t="s">
        <v>52</v>
      </c>
      <c r="B46" s="1">
        <v>45</v>
      </c>
      <c r="C46" s="1">
        <v>4</v>
      </c>
      <c r="D46" s="1" t="s">
        <v>155</v>
      </c>
      <c r="E46" s="1" t="s">
        <v>156</v>
      </c>
      <c r="F46" s="1" t="str">
        <f t="shared" si="0"/>
        <v>Plante_Brule</v>
      </c>
      <c r="G46" s="1">
        <v>8.15</v>
      </c>
      <c r="H46" s="1">
        <v>7.51</v>
      </c>
      <c r="I46" s="1">
        <v>40.098343999999997</v>
      </c>
      <c r="J46" s="1">
        <v>2.4385726449999998</v>
      </c>
      <c r="K46" s="1">
        <v>460</v>
      </c>
      <c r="L46" s="1">
        <v>81.955280299999998</v>
      </c>
      <c r="M46" s="1">
        <v>26.8</v>
      </c>
      <c r="N46" s="1">
        <v>11</v>
      </c>
      <c r="O46" s="1">
        <v>46.4</v>
      </c>
      <c r="P46" s="1">
        <v>44.68</v>
      </c>
      <c r="Q46" s="1">
        <v>1.3919999999999999</v>
      </c>
      <c r="R46" s="1">
        <v>2.76E-2</v>
      </c>
      <c r="S46" s="1">
        <v>0.9496</v>
      </c>
      <c r="T46" s="1">
        <v>341</v>
      </c>
      <c r="U46" s="1">
        <v>412</v>
      </c>
      <c r="V46" s="1">
        <v>247</v>
      </c>
    </row>
    <row r="47" spans="1:22" x14ac:dyDescent="0.35">
      <c r="A47" s="1" t="s">
        <v>53</v>
      </c>
      <c r="B47" s="1">
        <v>46</v>
      </c>
      <c r="C47" s="1">
        <v>4</v>
      </c>
      <c r="D47" s="1" t="s">
        <v>155</v>
      </c>
      <c r="E47" s="1" t="s">
        <v>157</v>
      </c>
      <c r="F47" s="1" t="str">
        <f t="shared" si="0"/>
        <v>Plante_Hors brule</v>
      </c>
      <c r="G47" s="1">
        <v>8.0299999999999994</v>
      </c>
      <c r="H47" s="1">
        <v>7.42</v>
      </c>
      <c r="I47" s="1">
        <v>35.2641177</v>
      </c>
      <c r="J47" s="1">
        <v>2.5176224110000001</v>
      </c>
      <c r="K47" s="1">
        <v>458</v>
      </c>
      <c r="L47" s="1">
        <v>82.332572940000006</v>
      </c>
      <c r="M47" s="1">
        <v>27.4</v>
      </c>
      <c r="N47" s="1">
        <v>11</v>
      </c>
      <c r="O47" s="1">
        <v>47.4</v>
      </c>
      <c r="P47" s="1">
        <v>45.89</v>
      </c>
      <c r="Q47" s="1">
        <v>0.98250000000000004</v>
      </c>
      <c r="R47" s="1">
        <v>4.2200000000000001E-2</v>
      </c>
      <c r="S47" s="1">
        <v>0.89200000000000002</v>
      </c>
      <c r="T47" s="1">
        <v>362</v>
      </c>
      <c r="U47" s="1">
        <v>399</v>
      </c>
      <c r="V47" s="1">
        <v>239</v>
      </c>
    </row>
    <row r="48" spans="1:22" x14ac:dyDescent="0.35">
      <c r="A48" s="1" t="s">
        <v>54</v>
      </c>
      <c r="B48" s="1">
        <v>47</v>
      </c>
      <c r="C48" s="1">
        <v>4</v>
      </c>
      <c r="D48" s="1" t="s">
        <v>155</v>
      </c>
      <c r="E48" s="1" t="s">
        <v>156</v>
      </c>
      <c r="F48" s="1" t="str">
        <f t="shared" si="0"/>
        <v>Plante_Brule</v>
      </c>
      <c r="G48" s="1">
        <v>8.26</v>
      </c>
      <c r="H48" s="1">
        <v>7.55</v>
      </c>
      <c r="I48" s="1">
        <v>31.646428199999999</v>
      </c>
      <c r="J48" s="1">
        <v>2.4443672599999999</v>
      </c>
      <c r="K48" s="1">
        <v>399</v>
      </c>
      <c r="L48" s="1">
        <v>74.288535120000006</v>
      </c>
      <c r="M48" s="1">
        <v>26.4</v>
      </c>
      <c r="N48" s="1">
        <v>11</v>
      </c>
      <c r="O48" s="1">
        <v>45.7</v>
      </c>
      <c r="P48" s="1">
        <v>44.61</v>
      </c>
      <c r="Q48" s="1">
        <v>1.4330000000000001</v>
      </c>
      <c r="R48" s="1">
        <v>2.35E-2</v>
      </c>
      <c r="S48" s="1">
        <v>1.1830000000000001</v>
      </c>
      <c r="T48" s="1">
        <v>369</v>
      </c>
      <c r="U48" s="1">
        <v>418</v>
      </c>
      <c r="V48" s="1">
        <v>213</v>
      </c>
    </row>
    <row r="49" spans="1:22" x14ac:dyDescent="0.35">
      <c r="A49" s="1" t="s">
        <v>55</v>
      </c>
      <c r="B49" s="1">
        <v>48</v>
      </c>
      <c r="C49" s="1">
        <v>4</v>
      </c>
      <c r="D49" s="1" t="s">
        <v>155</v>
      </c>
      <c r="E49" s="1" t="s">
        <v>157</v>
      </c>
      <c r="F49" s="1" t="str">
        <f t="shared" si="0"/>
        <v>Plante_Hors brule</v>
      </c>
      <c r="G49" s="1">
        <v>8.2100000000000009</v>
      </c>
      <c r="H49" s="1">
        <v>7.43</v>
      </c>
      <c r="I49" s="1">
        <v>27.301470500000001</v>
      </c>
      <c r="J49" s="1">
        <v>2.4496780340000002</v>
      </c>
      <c r="K49" s="1">
        <v>413</v>
      </c>
      <c r="L49" s="1">
        <v>73.948321340000007</v>
      </c>
      <c r="M49" s="1">
        <v>24.4</v>
      </c>
      <c r="N49" s="1">
        <v>10</v>
      </c>
      <c r="O49" s="1">
        <v>42.2</v>
      </c>
      <c r="P49" s="1">
        <v>45.66</v>
      </c>
      <c r="Q49" s="1">
        <v>0.92569999999999997</v>
      </c>
      <c r="R49" s="1">
        <v>2.81E-2</v>
      </c>
      <c r="S49" s="1">
        <v>0.96970000000000001</v>
      </c>
      <c r="T49" s="1">
        <v>389</v>
      </c>
      <c r="U49" s="1">
        <v>415</v>
      </c>
      <c r="V49" s="1">
        <v>196</v>
      </c>
    </row>
    <row r="50" spans="1:22" x14ac:dyDescent="0.35">
      <c r="A50" s="1" t="s">
        <v>56</v>
      </c>
      <c r="B50" s="1">
        <v>49</v>
      </c>
      <c r="C50" s="1">
        <v>4</v>
      </c>
      <c r="D50" s="1" t="s">
        <v>155</v>
      </c>
      <c r="E50" s="1" t="s">
        <v>156</v>
      </c>
      <c r="F50" s="1" t="str">
        <f t="shared" si="0"/>
        <v>Plante_Brule</v>
      </c>
      <c r="G50" s="1">
        <v>8.2100000000000009</v>
      </c>
      <c r="H50" s="1">
        <v>7.44</v>
      </c>
      <c r="I50" s="1">
        <v>31.407012099999999</v>
      </c>
      <c r="J50" s="1">
        <v>2.3617696760000002</v>
      </c>
      <c r="K50" s="1">
        <v>377</v>
      </c>
      <c r="L50" s="1">
        <v>69.292664529999996</v>
      </c>
      <c r="M50" s="1">
        <v>24.1</v>
      </c>
      <c r="N50" s="1">
        <v>10</v>
      </c>
      <c r="O50" s="1">
        <v>41.7</v>
      </c>
      <c r="P50" s="1">
        <v>45.78</v>
      </c>
      <c r="Q50" s="1">
        <v>1.26</v>
      </c>
      <c r="R50" s="1">
        <v>2.1999999999999999E-2</v>
      </c>
      <c r="S50" s="1">
        <v>1.0629999999999999</v>
      </c>
      <c r="T50" s="1">
        <v>361</v>
      </c>
      <c r="U50" s="1">
        <v>430</v>
      </c>
      <c r="V50" s="1">
        <v>209</v>
      </c>
    </row>
    <row r="51" spans="1:22" x14ac:dyDescent="0.35">
      <c r="A51" s="1" t="s">
        <v>57</v>
      </c>
      <c r="B51" s="1">
        <v>50</v>
      </c>
      <c r="C51" s="1">
        <v>4</v>
      </c>
      <c r="D51" s="1" t="s">
        <v>155</v>
      </c>
      <c r="E51" s="1" t="s">
        <v>157</v>
      </c>
      <c r="F51" s="1" t="str">
        <f t="shared" si="0"/>
        <v>Plante_Hors brule</v>
      </c>
      <c r="G51" s="1">
        <v>8.11</v>
      </c>
      <c r="H51" s="1">
        <v>7.38</v>
      </c>
      <c r="I51" s="1">
        <v>35.508844199999999</v>
      </c>
      <c r="J51" s="1">
        <v>2.8215417270000001</v>
      </c>
      <c r="K51" s="1">
        <v>373</v>
      </c>
      <c r="L51" s="1">
        <v>74.962811470000005</v>
      </c>
      <c r="M51" s="1">
        <v>30.2</v>
      </c>
      <c r="N51" s="1">
        <v>11</v>
      </c>
      <c r="O51" s="1">
        <v>52.2</v>
      </c>
      <c r="P51" s="1">
        <v>45.87</v>
      </c>
      <c r="Q51" s="1">
        <v>1.236</v>
      </c>
      <c r="R51" s="1">
        <v>3.5700000000000003E-2</v>
      </c>
      <c r="S51" s="1">
        <v>1.3180000000000001</v>
      </c>
      <c r="T51" s="1">
        <v>387</v>
      </c>
      <c r="U51" s="1">
        <v>414</v>
      </c>
      <c r="V51" s="1">
        <v>199</v>
      </c>
    </row>
    <row r="52" spans="1:22" x14ac:dyDescent="0.35">
      <c r="A52" s="1" t="s">
        <v>58</v>
      </c>
      <c r="B52" s="1">
        <v>51</v>
      </c>
      <c r="C52" s="1">
        <v>4</v>
      </c>
      <c r="D52" s="1" t="s">
        <v>155</v>
      </c>
      <c r="E52" s="1" t="s">
        <v>156</v>
      </c>
      <c r="F52" s="1" t="str">
        <f t="shared" si="0"/>
        <v>Plante_Brule</v>
      </c>
      <c r="G52" s="1">
        <v>8.19</v>
      </c>
      <c r="H52" s="1">
        <v>7.48</v>
      </c>
      <c r="I52" s="1">
        <v>7.21191505</v>
      </c>
      <c r="J52" s="1">
        <v>2.5017821790000001</v>
      </c>
      <c r="K52" s="1">
        <v>426</v>
      </c>
      <c r="L52" s="1">
        <v>77.702040670000002</v>
      </c>
      <c r="M52" s="1">
        <v>26.6</v>
      </c>
      <c r="N52" s="1">
        <v>11</v>
      </c>
      <c r="O52" s="1">
        <v>46</v>
      </c>
      <c r="P52" s="1">
        <v>43.74</v>
      </c>
      <c r="Q52" s="1">
        <v>1.661</v>
      </c>
      <c r="R52" s="1">
        <v>2.63E-2</v>
      </c>
      <c r="S52" s="1">
        <v>0.57520000000000004</v>
      </c>
      <c r="T52" s="1">
        <v>320</v>
      </c>
      <c r="U52" s="1">
        <v>475</v>
      </c>
      <c r="V52" s="1">
        <v>205</v>
      </c>
    </row>
    <row r="53" spans="1:22" x14ac:dyDescent="0.35">
      <c r="A53" s="1" t="s">
        <v>59</v>
      </c>
      <c r="B53" s="1">
        <v>52</v>
      </c>
      <c r="C53" s="1">
        <v>4</v>
      </c>
      <c r="D53" s="1" t="s">
        <v>155</v>
      </c>
      <c r="E53" s="1" t="s">
        <v>157</v>
      </c>
      <c r="F53" s="1" t="str">
        <f t="shared" si="0"/>
        <v>Plante_Hors brule</v>
      </c>
      <c r="G53" s="1">
        <v>8.16</v>
      </c>
      <c r="H53" s="1">
        <v>7.53</v>
      </c>
      <c r="I53" s="1">
        <v>7.7702658800000002</v>
      </c>
      <c r="J53" s="1">
        <v>2.895109057</v>
      </c>
      <c r="K53" s="1">
        <v>431</v>
      </c>
      <c r="L53" s="1">
        <v>83.536415099999999</v>
      </c>
      <c r="M53" s="1">
        <v>31.8</v>
      </c>
      <c r="N53" s="1">
        <v>11</v>
      </c>
      <c r="O53" s="1">
        <v>55</v>
      </c>
      <c r="P53" s="1">
        <v>44.79</v>
      </c>
      <c r="Q53" s="1">
        <v>0.89059999999999995</v>
      </c>
      <c r="R53" s="1">
        <v>3.3500000000000002E-2</v>
      </c>
      <c r="S53" s="1">
        <v>0.56659999999999999</v>
      </c>
      <c r="T53" s="1">
        <v>327</v>
      </c>
      <c r="U53" s="1">
        <v>465</v>
      </c>
      <c r="V53" s="1">
        <v>208</v>
      </c>
    </row>
    <row r="54" spans="1:22" x14ac:dyDescent="0.35">
      <c r="A54" s="1" t="s">
        <v>60</v>
      </c>
      <c r="B54" s="1">
        <v>53</v>
      </c>
      <c r="C54" s="1">
        <v>4</v>
      </c>
      <c r="D54" s="1" t="s">
        <v>158</v>
      </c>
      <c r="E54" s="1" t="s">
        <v>156</v>
      </c>
      <c r="F54" s="1" t="str">
        <f t="shared" si="0"/>
        <v>Spontane_Brule</v>
      </c>
      <c r="G54" s="1">
        <v>8.01</v>
      </c>
      <c r="H54" s="1">
        <v>7.46</v>
      </c>
      <c r="I54" s="1">
        <v>14.137479000000001</v>
      </c>
      <c r="J54" s="1">
        <v>3.9068612460000001</v>
      </c>
      <c r="K54" s="1">
        <v>455</v>
      </c>
      <c r="L54" s="1">
        <v>102.452383</v>
      </c>
      <c r="M54" s="1">
        <v>47.9</v>
      </c>
      <c r="N54" s="1">
        <v>12</v>
      </c>
      <c r="O54" s="1">
        <v>82.9</v>
      </c>
      <c r="P54" s="1">
        <v>44.93</v>
      </c>
      <c r="Q54" s="1">
        <v>0.71519999999999995</v>
      </c>
      <c r="R54" s="1">
        <v>3.78E-2</v>
      </c>
      <c r="S54" s="1">
        <v>0.4793</v>
      </c>
      <c r="T54" s="1">
        <v>315</v>
      </c>
      <c r="U54" s="1">
        <v>323</v>
      </c>
      <c r="V54" s="1">
        <v>362</v>
      </c>
    </row>
    <row r="55" spans="1:22" x14ac:dyDescent="0.35">
      <c r="A55" s="1" t="s">
        <v>61</v>
      </c>
      <c r="B55" s="1">
        <v>54</v>
      </c>
      <c r="C55" s="1">
        <v>4</v>
      </c>
      <c r="D55" s="1" t="s">
        <v>158</v>
      </c>
      <c r="E55" s="1" t="s">
        <v>157</v>
      </c>
      <c r="F55" s="1" t="str">
        <f t="shared" si="0"/>
        <v>Spontane_Hors brule</v>
      </c>
      <c r="G55" s="1">
        <v>7.84</v>
      </c>
      <c r="H55" s="1">
        <v>7.48</v>
      </c>
      <c r="I55" s="1">
        <v>15.0098907</v>
      </c>
      <c r="J55" s="1">
        <v>4.82352823</v>
      </c>
      <c r="K55" s="1">
        <v>435</v>
      </c>
      <c r="L55" s="1">
        <v>117.5052834</v>
      </c>
      <c r="M55" s="1">
        <v>65.3</v>
      </c>
      <c r="N55" s="1">
        <v>14</v>
      </c>
      <c r="O55" s="1">
        <v>113</v>
      </c>
      <c r="P55" s="1">
        <v>47.3</v>
      </c>
      <c r="Q55" s="1">
        <v>0.8931</v>
      </c>
      <c r="R55" s="1">
        <v>4.5100000000000001E-2</v>
      </c>
      <c r="S55" s="1">
        <v>0.62090000000000001</v>
      </c>
      <c r="T55" s="1">
        <v>331</v>
      </c>
      <c r="U55" s="1">
        <v>277</v>
      </c>
      <c r="V55" s="1">
        <v>392</v>
      </c>
    </row>
    <row r="56" spans="1:22" x14ac:dyDescent="0.35">
      <c r="A56" s="1" t="s">
        <v>62</v>
      </c>
      <c r="B56" s="1">
        <v>55</v>
      </c>
      <c r="C56" s="1">
        <v>4</v>
      </c>
      <c r="D56" s="1" t="s">
        <v>158</v>
      </c>
      <c r="E56" s="1" t="s">
        <v>156</v>
      </c>
      <c r="F56" s="1" t="str">
        <f t="shared" si="0"/>
        <v>Spontane_Brule</v>
      </c>
      <c r="G56" s="1">
        <v>8.39</v>
      </c>
      <c r="H56" s="1">
        <v>7.79</v>
      </c>
      <c r="I56" s="1">
        <v>4.8750289799999997</v>
      </c>
      <c r="J56" s="1">
        <v>2.2019739450000002</v>
      </c>
      <c r="K56" s="1">
        <v>555</v>
      </c>
      <c r="L56" s="1">
        <v>90.389604570000003</v>
      </c>
      <c r="M56" s="1">
        <v>23.8</v>
      </c>
      <c r="N56" s="1">
        <v>11</v>
      </c>
      <c r="O56" s="1">
        <v>41.2</v>
      </c>
      <c r="P56" s="1">
        <v>40.61</v>
      </c>
      <c r="Q56" s="1">
        <v>0.3755</v>
      </c>
      <c r="R56" s="1">
        <v>1.2800000000000001E-2</v>
      </c>
      <c r="S56" s="1">
        <v>0.3417</v>
      </c>
      <c r="T56" s="1">
        <v>279</v>
      </c>
      <c r="U56" s="1">
        <v>379</v>
      </c>
      <c r="V56" s="1">
        <v>342</v>
      </c>
    </row>
    <row r="57" spans="1:22" x14ac:dyDescent="0.35">
      <c r="A57" s="1" t="s">
        <v>63</v>
      </c>
      <c r="B57" s="1">
        <v>56</v>
      </c>
      <c r="C57" s="1">
        <v>4</v>
      </c>
      <c r="D57" s="1" t="s">
        <v>158</v>
      </c>
      <c r="E57" s="1" t="s">
        <v>157</v>
      </c>
      <c r="F57" s="1" t="str">
        <f t="shared" si="0"/>
        <v>Spontane_Hors brule</v>
      </c>
      <c r="G57" s="1">
        <v>8.14</v>
      </c>
      <c r="H57" s="1">
        <v>7.68</v>
      </c>
      <c r="I57" s="1">
        <v>7.3879195900000001</v>
      </c>
      <c r="J57" s="1">
        <v>3.2565671209999998</v>
      </c>
      <c r="K57" s="1">
        <v>549</v>
      </c>
      <c r="L57" s="1">
        <v>106.49565699999999</v>
      </c>
      <c r="M57" s="1">
        <v>40.6</v>
      </c>
      <c r="N57" s="1">
        <v>13</v>
      </c>
      <c r="O57" s="1">
        <v>70.2</v>
      </c>
      <c r="P57" s="1">
        <v>43.44</v>
      </c>
      <c r="Q57" s="1">
        <v>0.52459999999999996</v>
      </c>
      <c r="R57" s="1">
        <v>2.7900000000000001E-2</v>
      </c>
      <c r="S57" s="1">
        <v>0.36409999999999998</v>
      </c>
      <c r="T57" s="1">
        <v>260</v>
      </c>
      <c r="U57" s="1">
        <v>346</v>
      </c>
      <c r="V57" s="1">
        <v>394</v>
      </c>
    </row>
    <row r="58" spans="1:22" x14ac:dyDescent="0.35">
      <c r="A58" s="1" t="s">
        <v>64</v>
      </c>
      <c r="B58" s="1">
        <v>57</v>
      </c>
      <c r="C58" s="1">
        <v>4</v>
      </c>
      <c r="D58" s="1" t="s">
        <v>158</v>
      </c>
      <c r="E58" s="1" t="s">
        <v>156</v>
      </c>
      <c r="F58" s="1" t="str">
        <f t="shared" si="0"/>
        <v>Spontane_Brule</v>
      </c>
      <c r="G58" s="1">
        <v>8.32</v>
      </c>
      <c r="H58" s="1">
        <v>7.68</v>
      </c>
      <c r="I58" s="1">
        <v>3.7597571599999999</v>
      </c>
      <c r="J58" s="1">
        <v>2.651184201</v>
      </c>
      <c r="K58" s="1">
        <v>473</v>
      </c>
      <c r="L58" s="1">
        <v>84.475460049999995</v>
      </c>
      <c r="M58" s="1">
        <v>27.7</v>
      </c>
      <c r="N58" s="1">
        <v>10</v>
      </c>
      <c r="O58" s="1">
        <v>47.9</v>
      </c>
      <c r="P58" s="1">
        <v>43.27</v>
      </c>
      <c r="Q58" s="1">
        <v>0.43459999999999999</v>
      </c>
      <c r="R58" s="1">
        <v>1.5900000000000001E-2</v>
      </c>
      <c r="S58" s="1">
        <v>0.4022</v>
      </c>
      <c r="T58" s="1">
        <v>305</v>
      </c>
      <c r="U58" s="1">
        <v>394</v>
      </c>
      <c r="V58" s="1">
        <v>301</v>
      </c>
    </row>
    <row r="59" spans="1:22" x14ac:dyDescent="0.35">
      <c r="A59" s="1" t="s">
        <v>65</v>
      </c>
      <c r="B59" s="1">
        <v>58</v>
      </c>
      <c r="C59" s="1">
        <v>4</v>
      </c>
      <c r="D59" s="1" t="s">
        <v>158</v>
      </c>
      <c r="E59" s="1" t="s">
        <v>157</v>
      </c>
      <c r="F59" s="1" t="str">
        <f t="shared" si="0"/>
        <v>Spontane_Hors brule</v>
      </c>
      <c r="G59" s="1">
        <v>8.15</v>
      </c>
      <c r="H59" s="1">
        <v>7.55</v>
      </c>
      <c r="I59" s="1">
        <v>5.0987905299999996</v>
      </c>
      <c r="J59" s="1">
        <v>2.9570892450000001</v>
      </c>
      <c r="K59" s="1">
        <v>461</v>
      </c>
      <c r="L59" s="1">
        <v>98.985147479999995</v>
      </c>
      <c r="M59" s="1">
        <v>43.7</v>
      </c>
      <c r="N59" s="1">
        <v>15</v>
      </c>
      <c r="O59" s="1">
        <v>75.599999999999994</v>
      </c>
      <c r="P59" s="1">
        <v>46.27</v>
      </c>
      <c r="Q59" s="1">
        <v>0.68810000000000004</v>
      </c>
      <c r="R59" s="1">
        <v>3.61E-2</v>
      </c>
      <c r="S59" s="1">
        <v>0.48430000000000001</v>
      </c>
      <c r="T59" s="1">
        <v>315</v>
      </c>
      <c r="U59" s="1">
        <v>394</v>
      </c>
      <c r="V59" s="1">
        <v>291</v>
      </c>
    </row>
    <row r="60" spans="1:22" x14ac:dyDescent="0.35">
      <c r="A60" s="1" t="s">
        <v>66</v>
      </c>
      <c r="B60" s="1">
        <v>59</v>
      </c>
      <c r="C60" s="1">
        <v>5</v>
      </c>
      <c r="D60" s="1" t="s">
        <v>155</v>
      </c>
      <c r="E60" s="1" t="s">
        <v>156</v>
      </c>
      <c r="F60" s="1" t="str">
        <f t="shared" si="0"/>
        <v>Plante_Brule</v>
      </c>
      <c r="G60" s="1">
        <v>8.26</v>
      </c>
      <c r="H60" s="1">
        <v>7.51</v>
      </c>
      <c r="I60" s="1">
        <v>5.5240354399999996</v>
      </c>
      <c r="J60" s="1">
        <v>3.4491917490000001</v>
      </c>
      <c r="K60" s="1">
        <v>400</v>
      </c>
      <c r="L60" s="1">
        <v>84.729166030000002</v>
      </c>
      <c r="M60" s="1">
        <v>36.700000000000003</v>
      </c>
      <c r="N60" s="1">
        <v>11</v>
      </c>
      <c r="O60" s="1">
        <v>63.5</v>
      </c>
      <c r="P60" s="1">
        <v>46.66</v>
      </c>
      <c r="Q60" s="1">
        <v>0.82089999999999996</v>
      </c>
      <c r="R60" s="1">
        <v>2.0799999999999999E-2</v>
      </c>
      <c r="S60" s="1">
        <v>0.53410000000000002</v>
      </c>
      <c r="T60" s="1">
        <v>246</v>
      </c>
      <c r="U60" s="1">
        <v>490</v>
      </c>
      <c r="V60" s="1">
        <v>264</v>
      </c>
    </row>
    <row r="61" spans="1:22" x14ac:dyDescent="0.35">
      <c r="A61" s="1" t="s">
        <v>67</v>
      </c>
      <c r="B61" s="1">
        <v>60</v>
      </c>
      <c r="C61" s="1">
        <v>5</v>
      </c>
      <c r="D61" s="1" t="s">
        <v>155</v>
      </c>
      <c r="E61" s="1" t="s">
        <v>157</v>
      </c>
      <c r="F61" s="1" t="str">
        <f t="shared" si="0"/>
        <v>Plante_Hors brule</v>
      </c>
      <c r="G61" s="1">
        <v>8.1999999999999993</v>
      </c>
      <c r="H61" s="1">
        <v>7.55</v>
      </c>
      <c r="I61" s="1">
        <v>6.4421498599999998</v>
      </c>
      <c r="J61" s="1">
        <v>3.5664814709999999</v>
      </c>
      <c r="K61" s="1">
        <v>447</v>
      </c>
      <c r="L61" s="1">
        <v>94.267234799999997</v>
      </c>
      <c r="M61" s="1">
        <v>40.6</v>
      </c>
      <c r="N61" s="1">
        <v>11</v>
      </c>
      <c r="O61" s="1">
        <v>70.2</v>
      </c>
      <c r="P61" s="1">
        <v>46.58</v>
      </c>
      <c r="Q61" s="1">
        <v>0.71779999999999999</v>
      </c>
      <c r="R61" s="1">
        <v>4.07E-2</v>
      </c>
      <c r="S61" s="1">
        <v>0.50880000000000003</v>
      </c>
      <c r="T61" s="1">
        <v>253</v>
      </c>
      <c r="U61" s="1">
        <v>431</v>
      </c>
      <c r="V61" s="1">
        <v>316</v>
      </c>
    </row>
    <row r="62" spans="1:22" x14ac:dyDescent="0.35">
      <c r="A62" s="1" t="s">
        <v>68</v>
      </c>
      <c r="B62" s="1">
        <v>61</v>
      </c>
      <c r="C62" s="1">
        <v>5</v>
      </c>
      <c r="D62" s="1" t="s">
        <v>155</v>
      </c>
      <c r="E62" s="1" t="s">
        <v>156</v>
      </c>
      <c r="F62" s="1" t="str">
        <f t="shared" si="0"/>
        <v>Plante_Brule</v>
      </c>
      <c r="G62" s="1">
        <v>8.1999999999999993</v>
      </c>
      <c r="H62" s="1">
        <v>7.5</v>
      </c>
      <c r="I62" s="1">
        <v>5.5979953199999999</v>
      </c>
      <c r="J62" s="1">
        <v>3.2768300180000001</v>
      </c>
      <c r="K62" s="1">
        <v>416</v>
      </c>
      <c r="L62" s="1">
        <v>88.113937379999996</v>
      </c>
      <c r="M62" s="1">
        <v>38.200000000000003</v>
      </c>
      <c r="N62" s="1">
        <v>12</v>
      </c>
      <c r="O62" s="1">
        <v>66.099999999999994</v>
      </c>
      <c r="P62" s="1">
        <v>48.84</v>
      </c>
      <c r="Q62" s="1">
        <v>0.83609999999999995</v>
      </c>
      <c r="R62" s="1">
        <v>3.8100000000000002E-2</v>
      </c>
      <c r="S62" s="1">
        <v>0.53769999999999996</v>
      </c>
      <c r="T62" s="1">
        <v>256</v>
      </c>
      <c r="U62" s="1">
        <v>478</v>
      </c>
      <c r="V62" s="1">
        <v>266</v>
      </c>
    </row>
    <row r="63" spans="1:22" x14ac:dyDescent="0.35">
      <c r="A63" s="1" t="s">
        <v>69</v>
      </c>
      <c r="B63" s="1">
        <v>62</v>
      </c>
      <c r="C63" s="1">
        <v>5</v>
      </c>
      <c r="D63" s="1" t="s">
        <v>155</v>
      </c>
      <c r="E63" s="1" t="s">
        <v>157</v>
      </c>
      <c r="F63" s="1" t="str">
        <f t="shared" si="0"/>
        <v>Plante_Hors brule</v>
      </c>
      <c r="G63" s="1">
        <v>8.19</v>
      </c>
      <c r="H63" s="1">
        <v>7.51</v>
      </c>
      <c r="I63" s="1">
        <v>6.7157073799999996</v>
      </c>
      <c r="J63" s="1">
        <v>3.6506825690000002</v>
      </c>
      <c r="K63" s="1">
        <v>414</v>
      </c>
      <c r="L63" s="1">
        <v>92.967672350000001</v>
      </c>
      <c r="M63" s="1">
        <v>43.3</v>
      </c>
      <c r="N63" s="1">
        <v>12</v>
      </c>
      <c r="O63" s="1">
        <v>74.900000000000006</v>
      </c>
      <c r="P63" s="1">
        <v>48.78</v>
      </c>
      <c r="Q63" s="1">
        <v>0.98060000000000003</v>
      </c>
      <c r="R63" s="1">
        <v>4.4400000000000002E-2</v>
      </c>
      <c r="S63" s="1">
        <v>0.53520000000000001</v>
      </c>
      <c r="T63" s="1">
        <v>273</v>
      </c>
      <c r="U63" s="1">
        <v>441</v>
      </c>
      <c r="V63" s="1">
        <v>286</v>
      </c>
    </row>
    <row r="64" spans="1:22" x14ac:dyDescent="0.35">
      <c r="A64" s="1" t="s">
        <v>70</v>
      </c>
      <c r="B64" s="1">
        <v>63</v>
      </c>
      <c r="C64" s="1">
        <v>5</v>
      </c>
      <c r="D64" s="1" t="s">
        <v>155</v>
      </c>
      <c r="E64" s="1" t="s">
        <v>156</v>
      </c>
      <c r="F64" s="1" t="str">
        <f t="shared" si="0"/>
        <v>Plante_Brule</v>
      </c>
      <c r="G64" s="1">
        <v>8.2899999999999991</v>
      </c>
      <c r="H64" s="1">
        <v>7.68</v>
      </c>
      <c r="I64" s="1">
        <v>4.7037271699999996</v>
      </c>
      <c r="J64" s="1">
        <v>2.7834436299999998</v>
      </c>
      <c r="K64" s="1">
        <v>510</v>
      </c>
      <c r="L64" s="1">
        <v>90.94497681</v>
      </c>
      <c r="M64" s="1">
        <v>29.7</v>
      </c>
      <c r="N64" s="1">
        <v>11</v>
      </c>
      <c r="O64" s="1">
        <v>51.4</v>
      </c>
      <c r="P64" s="1">
        <v>43.58</v>
      </c>
      <c r="Q64" s="1">
        <v>0.69020000000000004</v>
      </c>
      <c r="R64" s="1">
        <v>1.5900000000000001E-2</v>
      </c>
      <c r="S64" s="1">
        <v>0.51459999999999995</v>
      </c>
      <c r="T64" s="1">
        <v>222</v>
      </c>
      <c r="U64" s="1">
        <v>444</v>
      </c>
      <c r="V64" s="1">
        <v>334</v>
      </c>
    </row>
    <row r="65" spans="1:22" x14ac:dyDescent="0.35">
      <c r="A65" s="1" t="s">
        <v>71</v>
      </c>
      <c r="B65" s="1">
        <v>64</v>
      </c>
      <c r="C65" s="1">
        <v>5</v>
      </c>
      <c r="D65" s="1" t="s">
        <v>155</v>
      </c>
      <c r="E65" s="1" t="s">
        <v>157</v>
      </c>
      <c r="F65" s="1" t="str">
        <f t="shared" si="0"/>
        <v>Plante_Hors brule</v>
      </c>
      <c r="G65" s="1">
        <v>8.1199999999999992</v>
      </c>
      <c r="H65" s="1">
        <v>7.54</v>
      </c>
      <c r="I65" s="1">
        <v>7.2378442600000001</v>
      </c>
      <c r="J65" s="1">
        <v>3.7893432379999998</v>
      </c>
      <c r="K65" s="1">
        <v>439</v>
      </c>
      <c r="L65" s="1">
        <v>99.102821349999999</v>
      </c>
      <c r="M65" s="1">
        <v>46.4</v>
      </c>
      <c r="N65" s="1">
        <v>12</v>
      </c>
      <c r="O65" s="1">
        <v>80.3</v>
      </c>
      <c r="P65" s="1">
        <v>47.06</v>
      </c>
      <c r="Q65" s="1">
        <v>0.83160000000000001</v>
      </c>
      <c r="R65" s="1">
        <v>4.3200000000000002E-2</v>
      </c>
      <c r="S65" s="1">
        <v>0.56730000000000003</v>
      </c>
      <c r="T65" s="1">
        <v>266</v>
      </c>
      <c r="U65" s="1">
        <v>458</v>
      </c>
      <c r="V65" s="1">
        <v>276</v>
      </c>
    </row>
    <row r="66" spans="1:22" x14ac:dyDescent="0.35">
      <c r="A66" s="1" t="s">
        <v>72</v>
      </c>
      <c r="B66" s="1">
        <v>65</v>
      </c>
      <c r="C66" s="1">
        <v>5</v>
      </c>
      <c r="D66" s="1" t="s">
        <v>155</v>
      </c>
      <c r="E66" s="1" t="s">
        <v>156</v>
      </c>
      <c r="F66" s="1" t="str">
        <f t="shared" si="0"/>
        <v>Plante_Brule</v>
      </c>
      <c r="G66" s="1">
        <v>8.25</v>
      </c>
      <c r="H66" s="1">
        <v>7.53</v>
      </c>
      <c r="I66" s="1">
        <v>4.9137339999999998</v>
      </c>
      <c r="J66" s="1">
        <v>3.004422784</v>
      </c>
      <c r="K66" s="1">
        <v>488</v>
      </c>
      <c r="L66" s="1">
        <v>94.573764800000006</v>
      </c>
      <c r="M66" s="1">
        <v>36</v>
      </c>
      <c r="N66" s="1">
        <v>12</v>
      </c>
      <c r="O66" s="1">
        <v>62.3</v>
      </c>
      <c r="P66" s="1">
        <v>46.13</v>
      </c>
      <c r="Q66" s="1">
        <v>0.74790000000000001</v>
      </c>
      <c r="R66" s="1">
        <v>2.8299999999999999E-2</v>
      </c>
      <c r="S66" s="1">
        <v>0.4803</v>
      </c>
      <c r="T66" s="1">
        <v>218</v>
      </c>
      <c r="U66" s="1">
        <v>444</v>
      </c>
      <c r="V66" s="1">
        <v>338</v>
      </c>
    </row>
    <row r="67" spans="1:22" x14ac:dyDescent="0.35">
      <c r="A67" s="1" t="s">
        <v>73</v>
      </c>
      <c r="B67" s="1">
        <v>66</v>
      </c>
      <c r="C67" s="1">
        <v>5</v>
      </c>
      <c r="D67" s="1" t="s">
        <v>155</v>
      </c>
      <c r="E67" s="1" t="s">
        <v>157</v>
      </c>
      <c r="F67" s="1" t="str">
        <f t="shared" ref="F67:F130" si="1">_xlfn.CONCAT(D67,"_",E67)</f>
        <v>Plante_Hors brule</v>
      </c>
      <c r="G67" s="1">
        <v>8.07</v>
      </c>
      <c r="H67" s="1">
        <v>7.46</v>
      </c>
      <c r="I67" s="1">
        <v>7.3042812699999997</v>
      </c>
      <c r="J67" s="1">
        <v>3.6896690730000001</v>
      </c>
      <c r="K67" s="1">
        <v>457</v>
      </c>
      <c r="L67" s="1">
        <v>100.2358627</v>
      </c>
      <c r="M67" s="1">
        <v>45.4</v>
      </c>
      <c r="N67" s="1">
        <v>12</v>
      </c>
      <c r="O67" s="1">
        <v>78.5</v>
      </c>
      <c r="P67" s="1">
        <v>47.23</v>
      </c>
      <c r="Q67" s="1">
        <v>0.92379999999999995</v>
      </c>
      <c r="R67" s="1">
        <v>5.0799999999999998E-2</v>
      </c>
      <c r="S67" s="1">
        <v>0.59150000000000003</v>
      </c>
      <c r="T67" s="1">
        <v>248</v>
      </c>
      <c r="U67" s="1">
        <v>429</v>
      </c>
      <c r="V67" s="1">
        <v>323</v>
      </c>
    </row>
    <row r="68" spans="1:22" x14ac:dyDescent="0.35">
      <c r="A68" s="1" t="s">
        <v>74</v>
      </c>
      <c r="B68" s="1">
        <v>67</v>
      </c>
      <c r="C68" s="1">
        <v>5</v>
      </c>
      <c r="D68" s="1" t="s">
        <v>158</v>
      </c>
      <c r="E68" s="1" t="s">
        <v>156</v>
      </c>
      <c r="F68" s="1" t="str">
        <f t="shared" si="1"/>
        <v>Spontane_Brule</v>
      </c>
      <c r="G68" s="1">
        <v>8.23</v>
      </c>
      <c r="H68" s="1">
        <v>7.34</v>
      </c>
      <c r="I68" s="1">
        <v>8.7813152799999994</v>
      </c>
      <c r="J68" s="1">
        <v>4.2432942986488298</v>
      </c>
      <c r="K68" s="1">
        <v>293</v>
      </c>
      <c r="L68" s="1">
        <v>78.408083915710407</v>
      </c>
      <c r="M68" s="1">
        <v>43.2</v>
      </c>
      <c r="N68" s="1">
        <v>10.199999999999999</v>
      </c>
      <c r="O68" s="1">
        <v>74.7</v>
      </c>
      <c r="P68" s="1">
        <v>51.5</v>
      </c>
      <c r="Q68" s="1">
        <v>0.54879999999999995</v>
      </c>
      <c r="R68" s="1">
        <v>1.5699999999999999E-2</v>
      </c>
      <c r="S68" s="1">
        <v>0.54400000000000004</v>
      </c>
      <c r="T68" s="1">
        <v>233</v>
      </c>
      <c r="U68" s="1">
        <v>522</v>
      </c>
      <c r="V68" s="1">
        <v>245</v>
      </c>
    </row>
    <row r="69" spans="1:22" x14ac:dyDescent="0.35">
      <c r="A69" s="1" t="s">
        <v>75</v>
      </c>
      <c r="B69" s="1">
        <v>68</v>
      </c>
      <c r="C69" s="1">
        <v>5</v>
      </c>
      <c r="D69" s="1" t="s">
        <v>158</v>
      </c>
      <c r="E69" s="1" t="s">
        <v>157</v>
      </c>
      <c r="F69" s="1" t="str">
        <f t="shared" si="1"/>
        <v>Spontane_Hors brule</v>
      </c>
      <c r="G69" s="1">
        <v>7.93</v>
      </c>
      <c r="H69" s="1">
        <v>7.3</v>
      </c>
      <c r="I69" s="1">
        <v>7.9910630999999999</v>
      </c>
      <c r="J69" s="1">
        <v>5.0074082612991297</v>
      </c>
      <c r="K69" s="1">
        <v>301</v>
      </c>
      <c r="L69" s="1">
        <v>90.269451141357393</v>
      </c>
      <c r="M69" s="1">
        <v>54.1</v>
      </c>
      <c r="N69" s="1">
        <v>10.8</v>
      </c>
      <c r="O69" s="1">
        <v>93.6</v>
      </c>
      <c r="P69" s="1">
        <v>51.81</v>
      </c>
      <c r="Q69" s="1">
        <v>0.91969999999999996</v>
      </c>
      <c r="R69" s="1">
        <v>4.4200000000000003E-2</v>
      </c>
      <c r="S69" s="1">
        <v>0.64800000000000002</v>
      </c>
      <c r="T69" s="1">
        <v>256</v>
      </c>
      <c r="U69" s="1">
        <v>493</v>
      </c>
      <c r="V69" s="1">
        <v>251</v>
      </c>
    </row>
    <row r="70" spans="1:22" x14ac:dyDescent="0.35">
      <c r="A70" s="1" t="s">
        <v>76</v>
      </c>
      <c r="B70" s="1">
        <v>69</v>
      </c>
      <c r="C70" s="1">
        <v>5</v>
      </c>
      <c r="D70" s="1" t="s">
        <v>158</v>
      </c>
      <c r="E70" s="1" t="s">
        <v>156</v>
      </c>
      <c r="F70" s="1" t="str">
        <f t="shared" si="1"/>
        <v>Spontane_Brule</v>
      </c>
      <c r="G70" s="1">
        <v>8.3699999999999992</v>
      </c>
      <c r="H70" s="1">
        <v>7.42</v>
      </c>
      <c r="I70" s="1">
        <v>4.1045495799999996</v>
      </c>
      <c r="J70" s="1">
        <v>1.95283606648445</v>
      </c>
      <c r="K70" s="1">
        <v>192</v>
      </c>
      <c r="L70" s="1">
        <v>46.3794231414794</v>
      </c>
      <c r="M70" s="1">
        <v>23.3</v>
      </c>
      <c r="N70" s="1">
        <v>11.9</v>
      </c>
      <c r="O70" s="1">
        <v>40.299999999999997</v>
      </c>
      <c r="P70" s="1">
        <v>47.61</v>
      </c>
      <c r="Q70" s="1">
        <v>0.41720000000000002</v>
      </c>
      <c r="R70" s="1">
        <v>1.1299999999999999E-2</v>
      </c>
      <c r="S70" s="1">
        <v>0.35399999999999998</v>
      </c>
      <c r="T70" s="1">
        <v>236</v>
      </c>
      <c r="U70" s="1">
        <v>536</v>
      </c>
      <c r="V70" s="1">
        <v>228</v>
      </c>
    </row>
    <row r="71" spans="1:22" x14ac:dyDescent="0.35">
      <c r="A71" s="1" t="s">
        <v>77</v>
      </c>
      <c r="B71" s="1">
        <v>70</v>
      </c>
      <c r="C71" s="1">
        <v>5</v>
      </c>
      <c r="D71" s="1" t="s">
        <v>158</v>
      </c>
      <c r="E71" s="1" t="s">
        <v>157</v>
      </c>
      <c r="F71" s="1" t="str">
        <f t="shared" si="1"/>
        <v>Spontane_Hors brule</v>
      </c>
      <c r="G71" s="1">
        <v>8.19</v>
      </c>
      <c r="H71" s="1">
        <v>7.41</v>
      </c>
      <c r="I71" s="1">
        <v>4.7314370500000003</v>
      </c>
      <c r="J71" s="1">
        <v>2.7056714892387301</v>
      </c>
      <c r="K71" s="1">
        <v>216</v>
      </c>
      <c r="L71" s="1">
        <v>61.271815299987701</v>
      </c>
      <c r="M71" s="1">
        <v>35.4</v>
      </c>
      <c r="N71" s="1">
        <v>13.1</v>
      </c>
      <c r="O71" s="1">
        <v>61.2</v>
      </c>
      <c r="P71" s="1">
        <v>48.38</v>
      </c>
      <c r="Q71" s="1">
        <v>0.6159</v>
      </c>
      <c r="R71" s="1">
        <v>5.21E-2</v>
      </c>
      <c r="S71" s="1">
        <v>0.42049999999999998</v>
      </c>
      <c r="T71" s="1">
        <v>233</v>
      </c>
      <c r="U71" s="1">
        <v>521</v>
      </c>
      <c r="V71" s="1">
        <v>246</v>
      </c>
    </row>
    <row r="72" spans="1:22" x14ac:dyDescent="0.35">
      <c r="A72" s="1" t="s">
        <v>78</v>
      </c>
      <c r="B72" s="1">
        <v>71</v>
      </c>
      <c r="C72" s="1">
        <v>5</v>
      </c>
      <c r="D72" s="1" t="s">
        <v>158</v>
      </c>
      <c r="E72" s="1" t="s">
        <v>156</v>
      </c>
      <c r="F72" s="1" t="str">
        <f t="shared" si="1"/>
        <v>Spontane_Brule</v>
      </c>
      <c r="G72" s="1">
        <v>8.35</v>
      </c>
      <c r="H72" s="1">
        <v>7.24</v>
      </c>
      <c r="I72" s="1">
        <v>4.6368899199999998</v>
      </c>
      <c r="J72" s="1">
        <v>1.9375425577163601</v>
      </c>
      <c r="K72" s="1">
        <v>145</v>
      </c>
      <c r="L72" s="1">
        <v>41.736965179443303</v>
      </c>
      <c r="M72" s="1">
        <v>24.3</v>
      </c>
      <c r="N72" s="1">
        <v>12.5</v>
      </c>
      <c r="O72" s="1">
        <v>42</v>
      </c>
      <c r="P72" s="1">
        <v>48.6</v>
      </c>
      <c r="Q72" s="1">
        <v>0.40100000000000002</v>
      </c>
      <c r="R72" s="1">
        <v>7.7000000000000002E-3</v>
      </c>
      <c r="S72" s="1">
        <v>0.40589999999999998</v>
      </c>
      <c r="T72" s="1">
        <v>251</v>
      </c>
      <c r="U72" s="1">
        <v>554</v>
      </c>
      <c r="V72" s="1">
        <v>195</v>
      </c>
    </row>
    <row r="73" spans="1:22" x14ac:dyDescent="0.35">
      <c r="A73" s="1" t="s">
        <v>79</v>
      </c>
      <c r="B73" s="1">
        <v>72</v>
      </c>
      <c r="C73" s="1">
        <v>5</v>
      </c>
      <c r="D73" s="1" t="s">
        <v>158</v>
      </c>
      <c r="E73" s="1" t="s">
        <v>157</v>
      </c>
      <c r="F73" s="1" t="str">
        <f t="shared" si="1"/>
        <v>Spontane_Hors brule</v>
      </c>
      <c r="G73" s="1">
        <v>8.31</v>
      </c>
      <c r="H73" s="1">
        <v>7.4</v>
      </c>
      <c r="I73" s="1">
        <v>3.45647036</v>
      </c>
      <c r="J73" s="1">
        <v>2.2710795700549999</v>
      </c>
      <c r="K73" s="1">
        <v>173</v>
      </c>
      <c r="L73" s="1">
        <v>49.781746864318798</v>
      </c>
      <c r="M73" s="1">
        <v>29</v>
      </c>
      <c r="N73" s="1">
        <v>12.8</v>
      </c>
      <c r="O73" s="1">
        <v>50.2</v>
      </c>
      <c r="P73" s="1">
        <v>48.58</v>
      </c>
      <c r="Q73" s="1">
        <v>0.53800000000000003</v>
      </c>
      <c r="R73" s="1">
        <v>4.3900000000000002E-2</v>
      </c>
      <c r="S73" s="1">
        <v>0.4607</v>
      </c>
      <c r="T73" s="1">
        <v>219</v>
      </c>
      <c r="U73" s="1">
        <v>532</v>
      </c>
      <c r="V73" s="1">
        <v>249</v>
      </c>
    </row>
    <row r="74" spans="1:22" x14ac:dyDescent="0.35">
      <c r="A74" s="1" t="s">
        <v>80</v>
      </c>
      <c r="B74" s="1">
        <v>73</v>
      </c>
      <c r="C74" s="1">
        <v>5</v>
      </c>
      <c r="D74" s="1" t="s">
        <v>158</v>
      </c>
      <c r="E74" s="1" t="s">
        <v>156</v>
      </c>
      <c r="F74" s="1" t="str">
        <f t="shared" si="1"/>
        <v>Spontane_Brule</v>
      </c>
      <c r="G74" s="1">
        <v>8.33</v>
      </c>
      <c r="H74" s="1">
        <v>7.3</v>
      </c>
      <c r="I74" s="1">
        <v>2.66952312</v>
      </c>
      <c r="J74" s="1">
        <v>1.90364673733711</v>
      </c>
      <c r="K74" s="1">
        <v>93</v>
      </c>
      <c r="L74" s="1">
        <v>35.615739822387603</v>
      </c>
      <c r="M74" s="1">
        <v>24.5</v>
      </c>
      <c r="N74" s="1">
        <v>12.9</v>
      </c>
      <c r="O74" s="1">
        <v>42.4</v>
      </c>
      <c r="P74" s="1">
        <v>48.69</v>
      </c>
      <c r="Q74" s="1">
        <v>0.50009999999999999</v>
      </c>
      <c r="R74" s="1">
        <v>1.23E-2</v>
      </c>
      <c r="S74" s="1">
        <v>0.45019999999999999</v>
      </c>
      <c r="T74" s="1">
        <v>302</v>
      </c>
      <c r="U74" s="1">
        <v>564</v>
      </c>
      <c r="V74" s="1">
        <v>134</v>
      </c>
    </row>
    <row r="75" spans="1:22" x14ac:dyDescent="0.35">
      <c r="A75" s="1" t="s">
        <v>81</v>
      </c>
      <c r="B75" s="1">
        <v>74</v>
      </c>
      <c r="C75" s="1">
        <v>5</v>
      </c>
      <c r="D75" s="1" t="s">
        <v>158</v>
      </c>
      <c r="E75" s="1" t="s">
        <v>157</v>
      </c>
      <c r="F75" s="1" t="str">
        <f t="shared" si="1"/>
        <v>Spontane_Hors brule</v>
      </c>
      <c r="G75" s="1">
        <v>7.95</v>
      </c>
      <c r="H75" s="1">
        <v>7.25</v>
      </c>
      <c r="I75" s="1">
        <v>5.0464129199999999</v>
      </c>
      <c r="J75" s="1">
        <v>2.8300836682319601</v>
      </c>
      <c r="K75" s="1">
        <v>103</v>
      </c>
      <c r="L75" s="1">
        <v>51.812381744384702</v>
      </c>
      <c r="M75" s="1">
        <v>39.5</v>
      </c>
      <c r="N75" s="1">
        <v>14</v>
      </c>
      <c r="O75" s="1">
        <v>68.3</v>
      </c>
      <c r="P75" s="1">
        <v>49.55</v>
      </c>
      <c r="Q75" s="1">
        <v>0.76619999999999999</v>
      </c>
      <c r="R75" s="1">
        <v>0.1061</v>
      </c>
      <c r="S75" s="1">
        <v>0.52110000000000001</v>
      </c>
      <c r="T75" s="1">
        <v>361</v>
      </c>
      <c r="U75" s="1">
        <v>512</v>
      </c>
      <c r="V75" s="1">
        <v>127</v>
      </c>
    </row>
    <row r="76" spans="1:22" x14ac:dyDescent="0.35">
      <c r="A76" s="1" t="s">
        <v>82</v>
      </c>
      <c r="B76" s="1">
        <v>75</v>
      </c>
      <c r="C76" s="1">
        <v>6</v>
      </c>
      <c r="D76" s="1" t="s">
        <v>158</v>
      </c>
      <c r="E76" s="1" t="s">
        <v>156</v>
      </c>
      <c r="F76" s="1" t="str">
        <f t="shared" si="1"/>
        <v>Spontane_Brule</v>
      </c>
      <c r="G76" s="1">
        <v>8.4</v>
      </c>
      <c r="H76" s="1">
        <v>7.57</v>
      </c>
      <c r="I76" s="1">
        <v>2.9367196</v>
      </c>
      <c r="J76" s="1">
        <v>4.0088325738906798</v>
      </c>
      <c r="K76" s="1">
        <v>423</v>
      </c>
      <c r="L76" s="1">
        <v>109.239540100097</v>
      </c>
      <c r="M76" s="1">
        <v>58.5</v>
      </c>
      <c r="N76" s="1">
        <v>14.6</v>
      </c>
      <c r="O76" s="1">
        <v>101</v>
      </c>
      <c r="P76" s="1">
        <v>44.29</v>
      </c>
      <c r="Q76" s="1">
        <v>1.784</v>
      </c>
      <c r="R76" s="1">
        <v>1.0200000000000001E-2</v>
      </c>
      <c r="S76" s="1">
        <v>0.1794</v>
      </c>
      <c r="T76" s="1">
        <v>165</v>
      </c>
      <c r="U76" s="1">
        <v>314</v>
      </c>
      <c r="V76" s="1">
        <v>521</v>
      </c>
    </row>
    <row r="77" spans="1:22" x14ac:dyDescent="0.35">
      <c r="A77" s="1" t="s">
        <v>83</v>
      </c>
      <c r="B77" s="1">
        <v>76</v>
      </c>
      <c r="C77" s="1">
        <v>6</v>
      </c>
      <c r="D77" s="1" t="s">
        <v>158</v>
      </c>
      <c r="E77" s="1" t="s">
        <v>157</v>
      </c>
      <c r="F77" s="1" t="str">
        <f t="shared" si="1"/>
        <v>Spontane_Hors brule</v>
      </c>
      <c r="G77" s="1">
        <v>8.16</v>
      </c>
      <c r="H77" s="1">
        <v>7.26</v>
      </c>
      <c r="I77" s="1">
        <v>6.2174191900000002</v>
      </c>
      <c r="J77" s="1">
        <v>4.8304909467697099</v>
      </c>
      <c r="K77" s="1">
        <v>460</v>
      </c>
      <c r="L77" s="1">
        <v>110.59427261352501</v>
      </c>
      <c r="M77" s="1">
        <v>55.4</v>
      </c>
      <c r="N77" s="1">
        <v>11.5</v>
      </c>
      <c r="O77" s="1">
        <v>95.8</v>
      </c>
      <c r="P77" s="1">
        <v>46.58</v>
      </c>
      <c r="Q77" s="1">
        <v>2.1040000000000001</v>
      </c>
      <c r="R77" s="1">
        <v>1.5800000000000002E-2</v>
      </c>
      <c r="S77" s="1">
        <v>0.29670000000000002</v>
      </c>
      <c r="T77" s="1">
        <v>207</v>
      </c>
      <c r="U77" s="1">
        <v>342</v>
      </c>
      <c r="V77" s="1">
        <v>451</v>
      </c>
    </row>
    <row r="78" spans="1:22" x14ac:dyDescent="0.35">
      <c r="A78" s="1" t="s">
        <v>84</v>
      </c>
      <c r="B78" s="1">
        <v>77</v>
      </c>
      <c r="C78" s="1">
        <v>6</v>
      </c>
      <c r="D78" s="1" t="s">
        <v>158</v>
      </c>
      <c r="E78" s="1" t="s">
        <v>156</v>
      </c>
      <c r="F78" s="1" t="str">
        <f t="shared" si="1"/>
        <v>Spontane_Brule</v>
      </c>
      <c r="G78" s="1">
        <v>8.23</v>
      </c>
      <c r="H78" s="1">
        <v>7.76</v>
      </c>
      <c r="I78" s="1">
        <v>5.4863569200000004</v>
      </c>
      <c r="J78" s="1">
        <v>2.8670179843902499</v>
      </c>
      <c r="K78" s="1">
        <v>454</v>
      </c>
      <c r="L78" s="1">
        <v>112.440576553344</v>
      </c>
      <c r="M78" s="1">
        <v>58</v>
      </c>
      <c r="N78" s="1">
        <v>20.2</v>
      </c>
      <c r="O78" s="1">
        <v>100</v>
      </c>
      <c r="P78" s="1">
        <v>34.46</v>
      </c>
      <c r="Q78" s="1">
        <v>2.6760000000000002</v>
      </c>
      <c r="R78" s="1">
        <v>4.2799999999999998E-2</v>
      </c>
      <c r="S78" s="1">
        <v>0.33289999999999997</v>
      </c>
      <c r="T78" s="1">
        <v>152</v>
      </c>
      <c r="U78" s="1">
        <v>251</v>
      </c>
      <c r="V78" s="1">
        <v>597</v>
      </c>
    </row>
    <row r="79" spans="1:22" x14ac:dyDescent="0.35">
      <c r="A79" s="1" t="s">
        <v>85</v>
      </c>
      <c r="B79" s="1">
        <v>78</v>
      </c>
      <c r="C79" s="1">
        <v>6</v>
      </c>
      <c r="D79" s="1" t="s">
        <v>158</v>
      </c>
      <c r="E79" s="1" t="s">
        <v>157</v>
      </c>
      <c r="F79" s="1" t="str">
        <f t="shared" si="1"/>
        <v>Spontane_Hors brule</v>
      </c>
      <c r="G79" s="1">
        <v>8.24</v>
      </c>
      <c r="H79" s="1">
        <v>7.69</v>
      </c>
      <c r="I79" s="1">
        <v>5.3466405300000002</v>
      </c>
      <c r="J79" s="1">
        <v>2.7244120836257899</v>
      </c>
      <c r="K79" s="1">
        <v>471</v>
      </c>
      <c r="L79" s="1">
        <v>109.96417045593201</v>
      </c>
      <c r="M79" s="1">
        <v>53.4</v>
      </c>
      <c r="N79" s="1">
        <v>19.600000000000001</v>
      </c>
      <c r="O79" s="1">
        <v>92.4</v>
      </c>
      <c r="P79" s="1">
        <v>33.909999999999997</v>
      </c>
      <c r="Q79" s="1">
        <v>2.5840000000000001</v>
      </c>
      <c r="R79" s="1">
        <v>4.24E-2</v>
      </c>
      <c r="S79" s="1">
        <v>0.33029999999999998</v>
      </c>
      <c r="T79" s="1">
        <v>145</v>
      </c>
      <c r="U79" s="1">
        <v>261</v>
      </c>
      <c r="V79" s="1">
        <v>594</v>
      </c>
    </row>
    <row r="80" spans="1:22" x14ac:dyDescent="0.35">
      <c r="A80" s="1" t="s">
        <v>86</v>
      </c>
      <c r="B80" s="1">
        <v>79</v>
      </c>
      <c r="C80" s="1">
        <v>6</v>
      </c>
      <c r="D80" s="1" t="s">
        <v>158</v>
      </c>
      <c r="E80" s="1" t="s">
        <v>156</v>
      </c>
      <c r="F80" s="1" t="str">
        <f t="shared" si="1"/>
        <v>Spontane_Brule</v>
      </c>
      <c r="G80" s="1">
        <v>8.25</v>
      </c>
      <c r="H80" s="1">
        <v>7.64</v>
      </c>
      <c r="I80" s="1">
        <v>9.3836226699999994</v>
      </c>
      <c r="J80" s="1">
        <v>2.8394052386283799</v>
      </c>
      <c r="K80" s="1">
        <v>458</v>
      </c>
      <c r="L80" s="1">
        <v>88.610191345214801</v>
      </c>
      <c r="M80" s="1">
        <v>33.700000000000003</v>
      </c>
      <c r="N80" s="1">
        <v>11.9</v>
      </c>
      <c r="O80" s="1">
        <v>58.3</v>
      </c>
      <c r="P80" s="1">
        <v>43.39</v>
      </c>
      <c r="Q80" s="1">
        <v>1.25</v>
      </c>
      <c r="R80" s="1">
        <v>1.9400000000000001E-2</v>
      </c>
      <c r="S80" s="1">
        <v>0.5706</v>
      </c>
      <c r="T80" s="1">
        <v>269</v>
      </c>
      <c r="U80" s="1">
        <v>291</v>
      </c>
      <c r="V80" s="1">
        <v>440</v>
      </c>
    </row>
    <row r="81" spans="1:22" x14ac:dyDescent="0.35">
      <c r="A81" s="1" t="s">
        <v>87</v>
      </c>
      <c r="B81" s="1">
        <v>80</v>
      </c>
      <c r="C81" s="1">
        <v>6</v>
      </c>
      <c r="D81" s="1" t="s">
        <v>158</v>
      </c>
      <c r="E81" s="1" t="s">
        <v>157</v>
      </c>
      <c r="F81" s="1" t="str">
        <f t="shared" si="1"/>
        <v>Spontane_Hors brule</v>
      </c>
      <c r="G81" s="1">
        <v>8.24</v>
      </c>
      <c r="H81" s="1">
        <v>7.61</v>
      </c>
      <c r="I81" s="1">
        <v>8.7646143500000004</v>
      </c>
      <c r="J81" s="1">
        <v>3.2163196802139198</v>
      </c>
      <c r="K81" s="1">
        <v>452</v>
      </c>
      <c r="L81" s="1">
        <v>92.175655364990206</v>
      </c>
      <c r="M81" s="1">
        <v>37.9</v>
      </c>
      <c r="N81" s="1">
        <v>11.8</v>
      </c>
      <c r="O81" s="1">
        <v>65.599999999999994</v>
      </c>
      <c r="P81" s="1">
        <v>42.68</v>
      </c>
      <c r="Q81" s="1">
        <v>1.5760000000000001</v>
      </c>
      <c r="R81" s="1">
        <v>2.8400000000000002E-2</v>
      </c>
      <c r="S81" s="1">
        <v>0.66969999999999996</v>
      </c>
      <c r="T81" s="1">
        <v>266</v>
      </c>
      <c r="U81" s="1">
        <v>297</v>
      </c>
      <c r="V81" s="1">
        <v>437</v>
      </c>
    </row>
    <row r="82" spans="1:22" x14ac:dyDescent="0.35">
      <c r="A82" s="1" t="s">
        <v>88</v>
      </c>
      <c r="B82" s="1">
        <v>81</v>
      </c>
      <c r="C82" s="1">
        <v>6</v>
      </c>
      <c r="D82" s="1" t="s">
        <v>158</v>
      </c>
      <c r="E82" s="1" t="s">
        <v>156</v>
      </c>
      <c r="F82" s="1" t="str">
        <f t="shared" si="1"/>
        <v>Spontane_Brule</v>
      </c>
      <c r="G82" s="1">
        <v>8.3699999999999992</v>
      </c>
      <c r="H82" s="1">
        <v>7.79</v>
      </c>
      <c r="I82" s="1">
        <v>3.4286735400000001</v>
      </c>
      <c r="J82" s="1">
        <v>2.3638151586055698</v>
      </c>
      <c r="K82" s="1">
        <v>654</v>
      </c>
      <c r="L82" s="1">
        <v>101.28542900085399</v>
      </c>
      <c r="M82" s="1">
        <v>22.8</v>
      </c>
      <c r="N82" s="1">
        <v>9.65</v>
      </c>
      <c r="O82" s="1">
        <v>39.4</v>
      </c>
      <c r="P82" s="1">
        <v>40.729999999999997</v>
      </c>
      <c r="Q82" s="1">
        <v>0.34110000000000001</v>
      </c>
      <c r="R82" s="1">
        <v>0.01</v>
      </c>
      <c r="S82" s="1">
        <v>0.19109999999999999</v>
      </c>
      <c r="T82" s="1">
        <v>204</v>
      </c>
      <c r="U82" s="1">
        <v>206</v>
      </c>
      <c r="V82" s="1">
        <v>590</v>
      </c>
    </row>
    <row r="83" spans="1:22" x14ac:dyDescent="0.35">
      <c r="A83" s="1" t="s">
        <v>89</v>
      </c>
      <c r="B83" s="1">
        <v>82</v>
      </c>
      <c r="C83" s="1">
        <v>6</v>
      </c>
      <c r="D83" s="1" t="s">
        <v>158</v>
      </c>
      <c r="E83" s="1" t="s">
        <v>157</v>
      </c>
      <c r="F83" s="1" t="str">
        <f t="shared" si="1"/>
        <v>Spontane_Hors brule</v>
      </c>
      <c r="G83" s="1">
        <v>8.25</v>
      </c>
      <c r="H83" s="1">
        <v>7.66</v>
      </c>
      <c r="I83" s="1">
        <v>3.9027759</v>
      </c>
      <c r="J83" s="1">
        <v>2.9953762888908302</v>
      </c>
      <c r="K83" s="1">
        <v>534</v>
      </c>
      <c r="L83" s="1">
        <v>101.91668510437</v>
      </c>
      <c r="M83" s="1">
        <v>37.799999999999997</v>
      </c>
      <c r="N83" s="1">
        <v>12.6</v>
      </c>
      <c r="O83" s="1">
        <v>65.400000000000006</v>
      </c>
      <c r="P83" s="1">
        <v>43.25</v>
      </c>
      <c r="Q83" s="1">
        <v>0.47899999999999998</v>
      </c>
      <c r="R83" s="1">
        <v>1.9699999999999999E-2</v>
      </c>
      <c r="S83" s="1">
        <v>0.22059999999999999</v>
      </c>
      <c r="T83" s="1">
        <v>252</v>
      </c>
      <c r="U83" s="1">
        <v>169</v>
      </c>
      <c r="V83" s="1">
        <v>579</v>
      </c>
    </row>
    <row r="84" spans="1:22" x14ac:dyDescent="0.35">
      <c r="A84" s="1" t="s">
        <v>90</v>
      </c>
      <c r="B84" s="1">
        <v>83</v>
      </c>
      <c r="C84" s="1">
        <v>6</v>
      </c>
      <c r="D84" s="1" t="s">
        <v>155</v>
      </c>
      <c r="E84" s="1" t="s">
        <v>156</v>
      </c>
      <c r="F84" s="1" t="str">
        <f t="shared" si="1"/>
        <v>Plante_Brule</v>
      </c>
      <c r="G84" s="1">
        <v>8.3800000000000008</v>
      </c>
      <c r="H84" s="1">
        <v>7.75</v>
      </c>
      <c r="I84" s="1">
        <v>2.8539192799999999</v>
      </c>
      <c r="J84" s="1">
        <v>2.2489595413207999</v>
      </c>
      <c r="K84" s="1">
        <v>703</v>
      </c>
      <c r="L84" s="1">
        <v>112.571687698364</v>
      </c>
      <c r="M84" s="1">
        <v>28.2</v>
      </c>
      <c r="N84" s="1">
        <v>12.5</v>
      </c>
      <c r="O84" s="1">
        <v>48.8</v>
      </c>
      <c r="P84" s="1">
        <v>37.83</v>
      </c>
      <c r="Q84" s="1">
        <v>0.84050000000000002</v>
      </c>
      <c r="R84" s="1">
        <v>6.7999999999999996E-3</v>
      </c>
      <c r="S84" s="1">
        <v>0.14710000000000001</v>
      </c>
      <c r="T84" s="1">
        <v>145</v>
      </c>
      <c r="U84" s="1">
        <v>180</v>
      </c>
      <c r="V84" s="1">
        <v>675</v>
      </c>
    </row>
    <row r="85" spans="1:22" x14ac:dyDescent="0.35">
      <c r="A85" s="1" t="s">
        <v>91</v>
      </c>
      <c r="B85" s="1">
        <v>84</v>
      </c>
      <c r="C85" s="1">
        <v>6</v>
      </c>
      <c r="D85" s="1" t="s">
        <v>155</v>
      </c>
      <c r="E85" s="1" t="s">
        <v>157</v>
      </c>
      <c r="F85" s="1" t="str">
        <f t="shared" si="1"/>
        <v>Plante_Hors brule</v>
      </c>
      <c r="G85" s="1">
        <v>8.27</v>
      </c>
      <c r="H85" s="1">
        <v>7.75</v>
      </c>
      <c r="I85" s="1">
        <v>4.6464133500000004</v>
      </c>
      <c r="J85" s="1">
        <v>3.1002411246299699</v>
      </c>
      <c r="K85" s="1">
        <v>667</v>
      </c>
      <c r="L85" s="1">
        <v>121.09474182128901</v>
      </c>
      <c r="M85" s="1">
        <v>41.1</v>
      </c>
      <c r="N85" s="1">
        <v>13.3</v>
      </c>
      <c r="O85" s="1">
        <v>71.099999999999994</v>
      </c>
      <c r="P85" s="1">
        <v>38.83</v>
      </c>
      <c r="Q85" s="1">
        <v>1.079</v>
      </c>
      <c r="R85" s="1">
        <v>1.38E-2</v>
      </c>
      <c r="S85" s="1">
        <v>0.2354</v>
      </c>
      <c r="T85" s="1">
        <v>165</v>
      </c>
      <c r="U85" s="1">
        <v>182</v>
      </c>
      <c r="V85" s="1">
        <v>653</v>
      </c>
    </row>
    <row r="86" spans="1:22" x14ac:dyDescent="0.35">
      <c r="A86" s="1" t="s">
        <v>92</v>
      </c>
      <c r="B86" s="1">
        <v>85</v>
      </c>
      <c r="C86" s="1">
        <v>6</v>
      </c>
      <c r="D86" s="1" t="s">
        <v>155</v>
      </c>
      <c r="E86" s="1" t="s">
        <v>156</v>
      </c>
      <c r="F86" s="1" t="str">
        <f t="shared" si="1"/>
        <v>Plante_Brule</v>
      </c>
      <c r="G86" s="1">
        <v>8.39</v>
      </c>
      <c r="H86" s="1">
        <v>7.79</v>
      </c>
      <c r="I86" s="1">
        <v>3.7879293500000002</v>
      </c>
      <c r="J86" s="1">
        <v>2.18914583325386</v>
      </c>
      <c r="K86" s="1">
        <v>696</v>
      </c>
      <c r="L86" s="1">
        <v>116.353960037231</v>
      </c>
      <c r="M86" s="1">
        <v>32.799999999999997</v>
      </c>
      <c r="N86" s="1">
        <v>15</v>
      </c>
      <c r="O86" s="1">
        <v>56.7</v>
      </c>
      <c r="P86" s="1">
        <v>37.97</v>
      </c>
      <c r="Q86" s="1">
        <v>1.1759999999999999</v>
      </c>
      <c r="R86" s="1">
        <v>1.1900000000000001E-2</v>
      </c>
      <c r="S86" s="1">
        <v>0.15310000000000001</v>
      </c>
      <c r="T86" s="1">
        <v>147</v>
      </c>
      <c r="U86" s="1">
        <v>175</v>
      </c>
      <c r="V86" s="1">
        <v>678</v>
      </c>
    </row>
    <row r="87" spans="1:22" x14ac:dyDescent="0.35">
      <c r="A87" s="1" t="s">
        <v>93</v>
      </c>
      <c r="B87" s="1">
        <v>86</v>
      </c>
      <c r="C87" s="1">
        <v>6</v>
      </c>
      <c r="D87" s="1" t="s">
        <v>155</v>
      </c>
      <c r="E87" s="1" t="s">
        <v>157</v>
      </c>
      <c r="F87" s="1" t="str">
        <f t="shared" si="1"/>
        <v>Plante_Hors brule</v>
      </c>
      <c r="G87" s="1">
        <v>8.31</v>
      </c>
      <c r="H87" s="1">
        <v>7.87</v>
      </c>
      <c r="I87" s="1">
        <v>3.9847816900000002</v>
      </c>
      <c r="J87" s="1">
        <v>2.8209638595581001</v>
      </c>
      <c r="K87" s="1">
        <v>718</v>
      </c>
      <c r="L87" s="1">
        <v>122.653350830078</v>
      </c>
      <c r="M87" s="1">
        <v>36.5</v>
      </c>
      <c r="N87" s="1">
        <v>12.9</v>
      </c>
      <c r="O87" s="1">
        <v>63.1</v>
      </c>
      <c r="P87" s="1">
        <v>38.53</v>
      </c>
      <c r="Q87" s="1">
        <v>0.96489999999999998</v>
      </c>
      <c r="R87" s="1">
        <v>1.5800000000000002E-2</v>
      </c>
      <c r="S87" s="1">
        <v>0.18</v>
      </c>
      <c r="T87" s="1">
        <v>166</v>
      </c>
      <c r="U87" s="1">
        <v>153</v>
      </c>
      <c r="V87" s="1">
        <v>681</v>
      </c>
    </row>
    <row r="88" spans="1:22" x14ac:dyDescent="0.35">
      <c r="A88" s="1" t="s">
        <v>94</v>
      </c>
      <c r="B88" s="1">
        <v>87</v>
      </c>
      <c r="C88" s="1">
        <v>6</v>
      </c>
      <c r="D88" s="1" t="s">
        <v>155</v>
      </c>
      <c r="E88" s="1" t="s">
        <v>156</v>
      </c>
      <c r="F88" s="1" t="str">
        <f t="shared" si="1"/>
        <v>Plante_Brule</v>
      </c>
      <c r="G88" s="1">
        <v>8.32</v>
      </c>
      <c r="H88" s="1">
        <v>7.76</v>
      </c>
      <c r="I88" s="1">
        <v>4.0825430999999996</v>
      </c>
      <c r="J88" s="1">
        <v>1.58366322517395</v>
      </c>
      <c r="K88" s="1">
        <v>155</v>
      </c>
      <c r="L88" s="1">
        <v>36.134393215179401</v>
      </c>
      <c r="M88" s="1">
        <v>17.5</v>
      </c>
      <c r="N88" s="1">
        <v>11.1</v>
      </c>
      <c r="O88" s="1">
        <v>30.3</v>
      </c>
      <c r="P88" s="1">
        <v>29.49</v>
      </c>
      <c r="Q88" s="1">
        <v>0.92279999999999995</v>
      </c>
      <c r="R88" s="1">
        <v>2.0299999999999999E-2</v>
      </c>
      <c r="S88" s="1">
        <v>0.12640000000000001</v>
      </c>
      <c r="T88" s="1">
        <v>98</v>
      </c>
      <c r="U88" s="1">
        <v>269</v>
      </c>
      <c r="V88" s="1">
        <v>633</v>
      </c>
    </row>
    <row r="89" spans="1:22" x14ac:dyDescent="0.35">
      <c r="A89" s="1" t="s">
        <v>95</v>
      </c>
      <c r="B89" s="1">
        <v>88</v>
      </c>
      <c r="C89" s="1">
        <v>6</v>
      </c>
      <c r="D89" s="1" t="s">
        <v>155</v>
      </c>
      <c r="E89" s="1" t="s">
        <v>157</v>
      </c>
      <c r="F89" s="1" t="str">
        <f t="shared" si="1"/>
        <v>Plante_Hors brule</v>
      </c>
      <c r="G89" s="1">
        <v>8.14</v>
      </c>
      <c r="H89" s="1">
        <v>7.7</v>
      </c>
      <c r="I89" s="1">
        <v>12.063984</v>
      </c>
      <c r="J89" s="1">
        <v>1.9862408936023701</v>
      </c>
      <c r="K89" s="1">
        <v>144</v>
      </c>
      <c r="L89" s="1">
        <v>40.428361892700103</v>
      </c>
      <c r="M89" s="1">
        <v>23.1</v>
      </c>
      <c r="N89" s="1">
        <v>11.6</v>
      </c>
      <c r="O89" s="1">
        <v>40</v>
      </c>
      <c r="P89" s="1">
        <v>29.54</v>
      </c>
      <c r="Q89" s="1">
        <v>1.121</v>
      </c>
      <c r="R89" s="1">
        <v>2.93E-2</v>
      </c>
      <c r="S89" s="1">
        <v>0.2205</v>
      </c>
      <c r="T89" s="1">
        <v>101</v>
      </c>
      <c r="U89" s="1">
        <v>291</v>
      </c>
      <c r="V89" s="1">
        <v>608</v>
      </c>
    </row>
    <row r="90" spans="1:22" x14ac:dyDescent="0.35">
      <c r="A90" s="1" t="s">
        <v>96</v>
      </c>
      <c r="B90" s="1">
        <v>89</v>
      </c>
      <c r="C90" s="1">
        <v>6</v>
      </c>
      <c r="D90" s="1" t="s">
        <v>155</v>
      </c>
      <c r="E90" s="1" t="s">
        <v>156</v>
      </c>
      <c r="F90" s="1" t="str">
        <f t="shared" si="1"/>
        <v>Plante_Brule</v>
      </c>
      <c r="G90" s="1">
        <v>8.3699999999999992</v>
      </c>
      <c r="H90" s="1">
        <v>7.68</v>
      </c>
      <c r="I90" s="1">
        <v>6.9182823899999999</v>
      </c>
      <c r="J90" s="1">
        <v>2.2373372316360398</v>
      </c>
      <c r="K90" s="1">
        <v>234</v>
      </c>
      <c r="L90" s="1">
        <v>52.3031711578369</v>
      </c>
      <c r="M90" s="1">
        <v>24.2</v>
      </c>
      <c r="N90" s="1">
        <v>10.8</v>
      </c>
      <c r="O90" s="1">
        <v>41.9</v>
      </c>
      <c r="P90" s="1">
        <v>39.06</v>
      </c>
      <c r="Q90" s="1">
        <v>1.135</v>
      </c>
      <c r="R90" s="1">
        <v>1.37E-2</v>
      </c>
      <c r="S90" s="1">
        <v>0.42030000000000001</v>
      </c>
      <c r="T90" s="1">
        <v>276</v>
      </c>
      <c r="U90" s="1">
        <v>266</v>
      </c>
      <c r="V90" s="1">
        <v>458</v>
      </c>
    </row>
    <row r="91" spans="1:22" x14ac:dyDescent="0.35">
      <c r="A91" s="1" t="s">
        <v>97</v>
      </c>
      <c r="B91" s="1">
        <v>90</v>
      </c>
      <c r="C91" s="1">
        <v>6</v>
      </c>
      <c r="D91" s="1" t="s">
        <v>155</v>
      </c>
      <c r="E91" s="1" t="s">
        <v>157</v>
      </c>
      <c r="F91" s="1" t="str">
        <f t="shared" si="1"/>
        <v>Plante_Hors brule</v>
      </c>
      <c r="G91" s="1">
        <v>8.23</v>
      </c>
      <c r="H91" s="1">
        <v>7.58</v>
      </c>
      <c r="I91" s="1">
        <v>6.8164085500000002</v>
      </c>
      <c r="J91" s="1">
        <v>2.7008393406867901</v>
      </c>
      <c r="K91" s="1">
        <v>224</v>
      </c>
      <c r="L91" s="1">
        <v>56.248602867126401</v>
      </c>
      <c r="M91" s="1">
        <v>29.4</v>
      </c>
      <c r="N91" s="1">
        <v>10.9</v>
      </c>
      <c r="O91" s="1">
        <v>50.9</v>
      </c>
      <c r="P91" s="1">
        <v>39.35</v>
      </c>
      <c r="Q91" s="1">
        <v>1.1419999999999999</v>
      </c>
      <c r="R91" s="1">
        <v>1.5599999999999999E-2</v>
      </c>
      <c r="S91" s="1">
        <v>0.52849999999999997</v>
      </c>
      <c r="T91" s="1">
        <v>282</v>
      </c>
      <c r="U91" s="1">
        <v>270</v>
      </c>
      <c r="V91" s="1">
        <v>448</v>
      </c>
    </row>
    <row r="92" spans="1:22" x14ac:dyDescent="0.35">
      <c r="A92" s="1" t="s">
        <v>98</v>
      </c>
      <c r="B92" s="1">
        <v>91</v>
      </c>
      <c r="C92" s="1">
        <v>7</v>
      </c>
      <c r="D92" s="1" t="s">
        <v>155</v>
      </c>
      <c r="E92" s="1" t="s">
        <v>156</v>
      </c>
      <c r="F92" s="1" t="str">
        <f t="shared" si="1"/>
        <v>Plante_Brule</v>
      </c>
      <c r="G92" s="1">
        <v>8.1999999999999993</v>
      </c>
      <c r="H92" s="1">
        <v>7.4</v>
      </c>
      <c r="I92" s="1">
        <v>5.74476064</v>
      </c>
      <c r="J92" s="1">
        <v>2.4827198684215501</v>
      </c>
      <c r="K92" s="1">
        <v>111</v>
      </c>
      <c r="L92" s="1">
        <v>47.1666002273559</v>
      </c>
      <c r="M92" s="1">
        <v>33.799999999999997</v>
      </c>
      <c r="N92" s="1">
        <v>13.6</v>
      </c>
      <c r="O92" s="1">
        <v>58.5</v>
      </c>
      <c r="P92" s="1">
        <v>13.94</v>
      </c>
      <c r="Q92" s="1">
        <v>3.8820000000000001</v>
      </c>
      <c r="R92" s="1">
        <v>1.84E-2</v>
      </c>
      <c r="S92" s="1">
        <v>0.3407</v>
      </c>
      <c r="T92" s="1">
        <v>124</v>
      </c>
      <c r="U92" s="1">
        <v>340</v>
      </c>
      <c r="V92" s="1">
        <v>536</v>
      </c>
    </row>
    <row r="93" spans="1:22" x14ac:dyDescent="0.35">
      <c r="A93" s="1" t="s">
        <v>99</v>
      </c>
      <c r="B93" s="1">
        <v>92</v>
      </c>
      <c r="C93" s="1">
        <v>7</v>
      </c>
      <c r="D93" s="1" t="s">
        <v>155</v>
      </c>
      <c r="E93" s="1" t="s">
        <v>157</v>
      </c>
      <c r="F93" s="1" t="str">
        <f t="shared" si="1"/>
        <v>Plante_Hors brule</v>
      </c>
      <c r="G93" s="1">
        <v>7.94</v>
      </c>
      <c r="H93" s="1">
        <v>7.32</v>
      </c>
      <c r="I93" s="1">
        <v>12.269308300000001</v>
      </c>
      <c r="J93" s="1">
        <v>3.6648136377334501</v>
      </c>
      <c r="K93" s="1">
        <v>106</v>
      </c>
      <c r="L93" s="1">
        <v>60.293602943420403</v>
      </c>
      <c r="M93" s="1">
        <v>47.6</v>
      </c>
      <c r="N93" s="1">
        <v>13</v>
      </c>
      <c r="O93" s="1">
        <v>82.3</v>
      </c>
      <c r="P93" s="1">
        <v>14.62</v>
      </c>
      <c r="Q93" s="1">
        <v>4.4779999999999998</v>
      </c>
      <c r="R93" s="1">
        <v>3.9800000000000002E-2</v>
      </c>
      <c r="S93" s="1">
        <v>0.52139999999999997</v>
      </c>
      <c r="T93" s="1">
        <v>147</v>
      </c>
      <c r="U93" s="1">
        <v>293</v>
      </c>
      <c r="V93" s="1">
        <v>560</v>
      </c>
    </row>
    <row r="94" spans="1:22" x14ac:dyDescent="0.35">
      <c r="A94" s="1" t="s">
        <v>100</v>
      </c>
      <c r="B94" s="1">
        <v>93</v>
      </c>
      <c r="C94" s="1">
        <v>7</v>
      </c>
      <c r="D94" s="1" t="s">
        <v>155</v>
      </c>
      <c r="E94" s="1" t="s">
        <v>156</v>
      </c>
      <c r="F94" s="1" t="str">
        <f t="shared" si="1"/>
        <v>Plante_Brule</v>
      </c>
      <c r="G94" s="1">
        <v>8.11</v>
      </c>
      <c r="H94" s="1">
        <v>7.42</v>
      </c>
      <c r="I94" s="1">
        <v>4.9820133599999998</v>
      </c>
      <c r="J94" s="1">
        <v>2.3963902890682198</v>
      </c>
      <c r="K94" s="1">
        <v>107</v>
      </c>
      <c r="L94" s="1">
        <v>46.597862243652301</v>
      </c>
      <c r="M94" s="1">
        <v>33.799999999999997</v>
      </c>
      <c r="N94" s="1">
        <v>14.1</v>
      </c>
      <c r="O94" s="1">
        <v>58.5</v>
      </c>
      <c r="P94" s="1">
        <v>13.1</v>
      </c>
      <c r="Q94" s="1">
        <v>3.9750000000000001</v>
      </c>
      <c r="R94" s="1">
        <v>1.41E-2</v>
      </c>
      <c r="S94" s="1">
        <v>0.30880000000000002</v>
      </c>
      <c r="T94" s="1">
        <v>110</v>
      </c>
      <c r="U94" s="1">
        <v>366</v>
      </c>
      <c r="V94" s="1">
        <v>524</v>
      </c>
    </row>
    <row r="95" spans="1:22" x14ac:dyDescent="0.35">
      <c r="A95" s="1" t="s">
        <v>101</v>
      </c>
      <c r="B95" s="1">
        <v>94</v>
      </c>
      <c r="C95" s="1">
        <v>7</v>
      </c>
      <c r="D95" s="1" t="s">
        <v>155</v>
      </c>
      <c r="E95" s="1" t="s">
        <v>157</v>
      </c>
      <c r="F95" s="1" t="str">
        <f t="shared" si="1"/>
        <v>Plante_Hors brule</v>
      </c>
      <c r="G95" s="1">
        <v>7.98</v>
      </c>
      <c r="H95" s="1">
        <v>7.23</v>
      </c>
      <c r="I95" s="1">
        <v>11.994992699999999</v>
      </c>
      <c r="J95" s="1">
        <v>2.94112592935562</v>
      </c>
      <c r="K95" s="1">
        <v>146</v>
      </c>
      <c r="L95" s="1">
        <v>54.903240203857401</v>
      </c>
      <c r="M95" s="1">
        <v>37.4</v>
      </c>
      <c r="N95" s="1">
        <v>12.7</v>
      </c>
      <c r="O95" s="1">
        <v>64.7</v>
      </c>
      <c r="P95" s="1">
        <v>14.09</v>
      </c>
      <c r="Q95" s="1">
        <v>4.3849999999999998</v>
      </c>
      <c r="R95" s="1">
        <v>3.0599999999999999E-2</v>
      </c>
      <c r="S95" s="1">
        <v>0.50839999999999996</v>
      </c>
      <c r="T95" s="1">
        <v>109</v>
      </c>
      <c r="U95" s="1">
        <v>328</v>
      </c>
      <c r="V95" s="1">
        <v>563</v>
      </c>
    </row>
    <row r="96" spans="1:22" x14ac:dyDescent="0.35">
      <c r="A96" s="1" t="s">
        <v>102</v>
      </c>
      <c r="B96" s="1">
        <v>95</v>
      </c>
      <c r="C96" s="1">
        <v>7</v>
      </c>
      <c r="D96" s="1" t="s">
        <v>158</v>
      </c>
      <c r="E96" s="1" t="s">
        <v>156</v>
      </c>
      <c r="F96" s="1" t="str">
        <f t="shared" si="1"/>
        <v>Spontane_Brule</v>
      </c>
      <c r="G96" s="1">
        <v>7.81</v>
      </c>
      <c r="H96" s="1">
        <v>7.34</v>
      </c>
      <c r="I96" s="1">
        <v>9.0270517800000007</v>
      </c>
      <c r="J96" s="1">
        <v>4.2666852474212602</v>
      </c>
      <c r="K96" s="1">
        <v>139</v>
      </c>
      <c r="L96" s="1">
        <v>74.764823913574205</v>
      </c>
      <c r="M96" s="1">
        <v>58.1</v>
      </c>
      <c r="N96" s="1">
        <v>13.6</v>
      </c>
      <c r="O96" s="1">
        <v>101</v>
      </c>
      <c r="P96" s="1">
        <v>22</v>
      </c>
      <c r="Q96" s="1">
        <v>6.3440000000000003</v>
      </c>
      <c r="R96" s="1">
        <v>4.65E-2</v>
      </c>
      <c r="S96" s="1">
        <v>0.33150000000000002</v>
      </c>
      <c r="T96" s="1">
        <v>95</v>
      </c>
      <c r="U96" s="1">
        <v>375</v>
      </c>
      <c r="V96" s="1">
        <v>530</v>
      </c>
    </row>
    <row r="97" spans="1:22" x14ac:dyDescent="0.35">
      <c r="A97" s="1" t="s">
        <v>103</v>
      </c>
      <c r="B97" s="1">
        <v>96</v>
      </c>
      <c r="C97" s="1">
        <v>7</v>
      </c>
      <c r="D97" s="1" t="s">
        <v>158</v>
      </c>
      <c r="E97" s="1" t="s">
        <v>157</v>
      </c>
      <c r="F97" s="1" t="str">
        <f t="shared" si="1"/>
        <v>Spontane_Hors brule</v>
      </c>
      <c r="G97" s="1">
        <v>7.82</v>
      </c>
      <c r="H97" s="1">
        <v>7.14</v>
      </c>
      <c r="I97" s="1">
        <v>8.9268651600000002</v>
      </c>
      <c r="J97" s="1">
        <v>2.8392535448074301</v>
      </c>
      <c r="K97" s="1">
        <v>40</v>
      </c>
      <c r="L97" s="1">
        <v>44.568915367126401</v>
      </c>
      <c r="M97" s="1">
        <v>39.799999999999997</v>
      </c>
      <c r="N97" s="1">
        <v>14</v>
      </c>
      <c r="O97" s="1">
        <v>68.900000000000006</v>
      </c>
      <c r="P97" s="1">
        <v>15.26</v>
      </c>
      <c r="Q97" s="1">
        <v>4.798</v>
      </c>
      <c r="R97" s="1">
        <v>6.2300000000000001E-2</v>
      </c>
      <c r="S97" s="1">
        <v>0.36480000000000001</v>
      </c>
      <c r="T97" s="1">
        <v>139</v>
      </c>
      <c r="U97" s="1">
        <v>223</v>
      </c>
      <c r="V97" s="1">
        <v>638</v>
      </c>
    </row>
    <row r="98" spans="1:22" x14ac:dyDescent="0.35">
      <c r="A98" s="1" t="s">
        <v>104</v>
      </c>
      <c r="B98" s="1">
        <v>97</v>
      </c>
      <c r="C98" s="1">
        <v>7</v>
      </c>
      <c r="D98" s="1" t="s">
        <v>158</v>
      </c>
      <c r="E98" s="1" t="s">
        <v>156</v>
      </c>
      <c r="F98" s="1" t="str">
        <f t="shared" si="1"/>
        <v>Spontane_Brule</v>
      </c>
      <c r="G98" s="1">
        <v>7.34</v>
      </c>
      <c r="H98" s="1">
        <v>6.77</v>
      </c>
      <c r="I98" s="1">
        <v>3.2563515999999999</v>
      </c>
      <c r="J98" s="1">
        <v>1.91148921847343</v>
      </c>
      <c r="K98" s="1">
        <v>5</v>
      </c>
      <c r="L98" s="1">
        <v>24.240183830261198</v>
      </c>
      <c r="M98" s="1">
        <v>23.6</v>
      </c>
      <c r="N98" s="1">
        <v>12.3</v>
      </c>
      <c r="O98" s="1">
        <v>40.799999999999997</v>
      </c>
      <c r="P98" s="1">
        <v>10.84</v>
      </c>
      <c r="Q98" s="1">
        <v>3.5779999999999998</v>
      </c>
      <c r="R98" s="1">
        <v>5.4899999999999997E-2</v>
      </c>
      <c r="S98" s="1">
        <v>0.1822</v>
      </c>
      <c r="T98" s="1">
        <v>110</v>
      </c>
      <c r="U98" s="1">
        <v>214</v>
      </c>
      <c r="V98" s="1">
        <v>676</v>
      </c>
    </row>
    <row r="99" spans="1:22" x14ac:dyDescent="0.35">
      <c r="A99" s="1" t="s">
        <v>105</v>
      </c>
      <c r="B99" s="1">
        <v>98</v>
      </c>
      <c r="C99" s="1">
        <v>7</v>
      </c>
      <c r="D99" s="1" t="s">
        <v>158</v>
      </c>
      <c r="E99" s="1" t="s">
        <v>157</v>
      </c>
      <c r="F99" s="1" t="str">
        <f t="shared" si="1"/>
        <v>Spontane_Hors brule</v>
      </c>
      <c r="G99" s="1">
        <v>6.78</v>
      </c>
      <c r="H99" s="1">
        <v>6.07</v>
      </c>
      <c r="I99" s="1">
        <v>4.8229596499999996</v>
      </c>
      <c r="J99" s="1">
        <v>3.0080160498619</v>
      </c>
      <c r="K99" s="1" t="s">
        <v>106</v>
      </c>
      <c r="L99" s="1">
        <v>40.018801689147899</v>
      </c>
      <c r="M99" s="1">
        <v>40</v>
      </c>
      <c r="N99" s="1">
        <v>13.3</v>
      </c>
      <c r="O99" s="1">
        <v>69.2</v>
      </c>
      <c r="P99" s="1">
        <v>11.02</v>
      </c>
      <c r="Q99" s="1">
        <v>3.6589999999999998</v>
      </c>
      <c r="R99" s="1">
        <v>6.3500000000000001E-2</v>
      </c>
      <c r="S99" s="1">
        <v>0.3448</v>
      </c>
      <c r="T99" s="1">
        <v>114</v>
      </c>
      <c r="U99" s="1">
        <v>200</v>
      </c>
      <c r="V99" s="1">
        <v>686</v>
      </c>
    </row>
    <row r="100" spans="1:22" x14ac:dyDescent="0.35">
      <c r="A100" s="1" t="s">
        <v>107</v>
      </c>
      <c r="B100" s="1">
        <v>99</v>
      </c>
      <c r="C100" s="1">
        <v>8</v>
      </c>
      <c r="D100" s="1" t="s">
        <v>158</v>
      </c>
      <c r="E100" s="1" t="s">
        <v>156</v>
      </c>
      <c r="F100" s="1" t="str">
        <f t="shared" si="1"/>
        <v>Spontane_Brule</v>
      </c>
      <c r="G100" s="1">
        <v>8.24</v>
      </c>
      <c r="H100" s="1">
        <v>7.84</v>
      </c>
      <c r="I100" s="1">
        <v>2.6709533400000001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 t="s">
        <v>108</v>
      </c>
      <c r="B101" s="1">
        <v>100</v>
      </c>
      <c r="C101" s="1">
        <v>8</v>
      </c>
      <c r="D101" s="1" t="s">
        <v>158</v>
      </c>
      <c r="E101" s="1" t="s">
        <v>157</v>
      </c>
      <c r="F101" s="1" t="str">
        <f t="shared" si="1"/>
        <v>Spontane_Hors brule</v>
      </c>
      <c r="G101" s="1">
        <v>8.1</v>
      </c>
      <c r="H101" s="1">
        <v>7.76</v>
      </c>
      <c r="I101" s="1">
        <v>4.1404741600000001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 t="s">
        <v>109</v>
      </c>
      <c r="B102" s="1">
        <v>101</v>
      </c>
      <c r="C102" s="1">
        <v>8</v>
      </c>
      <c r="D102" s="1" t="s">
        <v>158</v>
      </c>
      <c r="E102" s="1" t="s">
        <v>156</v>
      </c>
      <c r="F102" s="1" t="str">
        <f t="shared" si="1"/>
        <v>Spontane_Brule</v>
      </c>
      <c r="G102" s="1">
        <v>8.2200000000000006</v>
      </c>
      <c r="H102" s="1">
        <v>7.87</v>
      </c>
      <c r="I102" s="1">
        <v>2.9484496099999999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 t="s">
        <v>110</v>
      </c>
      <c r="B103" s="1">
        <v>102</v>
      </c>
      <c r="C103" s="1">
        <v>8</v>
      </c>
      <c r="D103" s="1" t="s">
        <v>158</v>
      </c>
      <c r="E103" s="1" t="s">
        <v>157</v>
      </c>
      <c r="F103" s="1" t="str">
        <f t="shared" si="1"/>
        <v>Spontane_Hors brule</v>
      </c>
      <c r="G103" s="1">
        <v>7.8</v>
      </c>
      <c r="H103" s="1">
        <v>7.45</v>
      </c>
      <c r="I103" s="1">
        <v>7.1036547700000003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 t="s">
        <v>111</v>
      </c>
      <c r="B104" s="1">
        <v>103</v>
      </c>
      <c r="C104" s="1">
        <v>8</v>
      </c>
      <c r="D104" s="1" t="s">
        <v>158</v>
      </c>
      <c r="E104" s="1" t="s">
        <v>156</v>
      </c>
      <c r="F104" s="1" t="str">
        <f t="shared" si="1"/>
        <v>Spontane_Brule</v>
      </c>
      <c r="G104" s="1">
        <v>8.18</v>
      </c>
      <c r="H104" s="1">
        <v>7.6</v>
      </c>
      <c r="I104" s="1">
        <v>2.06426972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 t="s">
        <v>112</v>
      </c>
      <c r="B105" s="1">
        <v>104</v>
      </c>
      <c r="C105" s="1">
        <v>8</v>
      </c>
      <c r="D105" s="1" t="s">
        <v>158</v>
      </c>
      <c r="E105" s="1" t="s">
        <v>157</v>
      </c>
      <c r="F105" s="1" t="str">
        <f t="shared" si="1"/>
        <v>Spontane_Hors brule</v>
      </c>
      <c r="G105" s="1">
        <v>8.23</v>
      </c>
      <c r="H105" s="1">
        <v>7.64</v>
      </c>
      <c r="I105" s="1">
        <v>3.7273822700000001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 t="s">
        <v>113</v>
      </c>
      <c r="B106" s="1">
        <v>105</v>
      </c>
      <c r="C106" s="1">
        <v>8</v>
      </c>
      <c r="D106" s="1" t="s">
        <v>158</v>
      </c>
      <c r="E106" s="1" t="s">
        <v>156</v>
      </c>
      <c r="F106" s="1" t="str">
        <f t="shared" si="1"/>
        <v>Spontane_Brule</v>
      </c>
      <c r="G106" s="1">
        <v>8.33</v>
      </c>
      <c r="H106" s="1">
        <v>7.73</v>
      </c>
      <c r="I106" s="1">
        <v>2.32809556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 t="s">
        <v>114</v>
      </c>
      <c r="B107" s="1">
        <v>106</v>
      </c>
      <c r="C107" s="1">
        <v>8</v>
      </c>
      <c r="D107" s="1" t="s">
        <v>158</v>
      </c>
      <c r="E107" s="1" t="s">
        <v>157</v>
      </c>
      <c r="F107" s="1" t="str">
        <f t="shared" si="1"/>
        <v>Spontane_Hors brule</v>
      </c>
      <c r="G107" s="1">
        <v>8.26</v>
      </c>
      <c r="H107" s="1">
        <v>7.67</v>
      </c>
      <c r="I107" s="1">
        <v>2.3711806499999999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 t="s">
        <v>115</v>
      </c>
      <c r="B108" s="1">
        <v>107</v>
      </c>
      <c r="C108" s="1">
        <v>8</v>
      </c>
      <c r="D108" s="1" t="s">
        <v>155</v>
      </c>
      <c r="E108" s="1" t="s">
        <v>156</v>
      </c>
      <c r="F108" s="1" t="str">
        <f t="shared" si="1"/>
        <v>Plante_Brule</v>
      </c>
      <c r="G108" s="1">
        <v>8.11</v>
      </c>
      <c r="H108" s="1">
        <v>7.47</v>
      </c>
      <c r="I108" s="1">
        <v>14.2146621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 t="s">
        <v>116</v>
      </c>
      <c r="B109" s="1">
        <v>108</v>
      </c>
      <c r="C109" s="1">
        <v>8</v>
      </c>
      <c r="D109" s="1" t="s">
        <v>155</v>
      </c>
      <c r="E109" s="1" t="s">
        <v>157</v>
      </c>
      <c r="F109" s="1" t="str">
        <f t="shared" si="1"/>
        <v>Plante_Hors brule</v>
      </c>
      <c r="G109" s="1">
        <v>8.06</v>
      </c>
      <c r="H109" s="1">
        <v>7.39</v>
      </c>
      <c r="I109" s="1">
        <v>15.0572313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 t="s">
        <v>117</v>
      </c>
      <c r="B110" s="1">
        <v>109</v>
      </c>
      <c r="C110" s="1">
        <v>8</v>
      </c>
      <c r="D110" s="1" t="s">
        <v>155</v>
      </c>
      <c r="E110" s="1" t="s">
        <v>156</v>
      </c>
      <c r="F110" s="1" t="str">
        <f t="shared" si="1"/>
        <v>Plante_Brule</v>
      </c>
      <c r="G110" s="1">
        <v>8.23</v>
      </c>
      <c r="H110" s="1">
        <v>7.54</v>
      </c>
      <c r="I110" s="1">
        <v>5.6170810600000003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 t="s">
        <v>118</v>
      </c>
      <c r="B111" s="1">
        <v>110</v>
      </c>
      <c r="C111" s="1">
        <v>8</v>
      </c>
      <c r="D111" s="1" t="s">
        <v>155</v>
      </c>
      <c r="E111" s="1" t="s">
        <v>157</v>
      </c>
      <c r="F111" s="1" t="str">
        <f t="shared" si="1"/>
        <v>Plante_Hors brule</v>
      </c>
      <c r="G111" s="1">
        <v>8.19</v>
      </c>
      <c r="H111" s="1">
        <v>7.55</v>
      </c>
      <c r="I111" s="1">
        <v>8.1832119999999993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 t="s">
        <v>119</v>
      </c>
      <c r="B112" s="1">
        <v>111</v>
      </c>
      <c r="C112" s="1">
        <v>8</v>
      </c>
      <c r="D112" s="1" t="s">
        <v>155</v>
      </c>
      <c r="E112" s="1" t="s">
        <v>156</v>
      </c>
      <c r="F112" s="1" t="str">
        <f t="shared" si="1"/>
        <v>Plante_Brule</v>
      </c>
      <c r="G112" s="1">
        <v>8.1999999999999993</v>
      </c>
      <c r="H112" s="1">
        <v>7.6</v>
      </c>
      <c r="I112" s="1">
        <v>8.3888034499999993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 t="s">
        <v>120</v>
      </c>
      <c r="B113" s="1">
        <v>112</v>
      </c>
      <c r="C113" s="1">
        <v>8</v>
      </c>
      <c r="D113" s="1" t="s">
        <v>155</v>
      </c>
      <c r="E113" s="1" t="s">
        <v>157</v>
      </c>
      <c r="F113" s="1" t="str">
        <f t="shared" si="1"/>
        <v>Plante_Hors brule</v>
      </c>
      <c r="G113" s="1">
        <v>8</v>
      </c>
      <c r="H113" s="1">
        <v>7.47</v>
      </c>
      <c r="I113" s="1">
        <v>10.3611387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 t="s">
        <v>121</v>
      </c>
      <c r="B114" s="1">
        <v>113</v>
      </c>
      <c r="C114" s="1">
        <v>8</v>
      </c>
      <c r="D114" s="1" t="s">
        <v>155</v>
      </c>
      <c r="E114" s="1" t="s">
        <v>156</v>
      </c>
      <c r="F114" s="1" t="str">
        <f t="shared" si="1"/>
        <v>Plante_Brule</v>
      </c>
      <c r="G114" s="1">
        <v>8.44</v>
      </c>
      <c r="H114" s="1">
        <v>7.8</v>
      </c>
      <c r="I114" s="1">
        <v>2.07071461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 t="s">
        <v>122</v>
      </c>
      <c r="B115" s="1">
        <v>114</v>
      </c>
      <c r="C115" s="1">
        <v>8</v>
      </c>
      <c r="D115" s="1" t="s">
        <v>155</v>
      </c>
      <c r="E115" s="1" t="s">
        <v>157</v>
      </c>
      <c r="F115" s="1" t="str">
        <f t="shared" si="1"/>
        <v>Plante_Hors brule</v>
      </c>
      <c r="G115" s="1">
        <v>8.5500000000000007</v>
      </c>
      <c r="H115" s="1">
        <v>7.87</v>
      </c>
      <c r="I115" s="1">
        <v>4.1820355600000001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 t="s">
        <v>123</v>
      </c>
      <c r="B116" s="1">
        <v>115</v>
      </c>
      <c r="C116" s="1">
        <v>9</v>
      </c>
      <c r="D116" s="1" t="s">
        <v>158</v>
      </c>
      <c r="E116" s="1" t="s">
        <v>156</v>
      </c>
      <c r="F116" s="1" t="str">
        <f t="shared" si="1"/>
        <v>Spontane_Brule</v>
      </c>
      <c r="G116" s="1">
        <v>8.5500000000000007</v>
      </c>
      <c r="H116" s="1">
        <v>7.83</v>
      </c>
      <c r="I116" s="1">
        <v>2.3434844799999999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 t="s">
        <v>124</v>
      </c>
      <c r="B117" s="1">
        <v>116</v>
      </c>
      <c r="C117" s="1">
        <v>9</v>
      </c>
      <c r="D117" s="1" t="s">
        <v>158</v>
      </c>
      <c r="E117" s="1" t="s">
        <v>157</v>
      </c>
      <c r="F117" s="1" t="str">
        <f t="shared" si="1"/>
        <v>Spontane_Hors brule</v>
      </c>
      <c r="G117" s="1">
        <v>8.36</v>
      </c>
      <c r="H117" s="1">
        <v>7.84</v>
      </c>
      <c r="I117" s="1">
        <v>2.19554231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 t="s">
        <v>125</v>
      </c>
      <c r="B118" s="1">
        <v>117</v>
      </c>
      <c r="C118" s="1">
        <v>9</v>
      </c>
      <c r="D118" s="1" t="s">
        <v>158</v>
      </c>
      <c r="E118" s="1" t="s">
        <v>156</v>
      </c>
      <c r="F118" s="1" t="str">
        <f t="shared" si="1"/>
        <v>Spontane_Brule</v>
      </c>
      <c r="G118" s="1">
        <v>8.4499999999999993</v>
      </c>
      <c r="H118" s="1">
        <v>7.98</v>
      </c>
      <c r="I118" s="1">
        <v>2.0112924099999998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 t="s">
        <v>126</v>
      </c>
      <c r="B119" s="1">
        <v>118</v>
      </c>
      <c r="C119" s="1">
        <v>9</v>
      </c>
      <c r="D119" s="1" t="s">
        <v>158</v>
      </c>
      <c r="E119" s="1" t="s">
        <v>157</v>
      </c>
      <c r="F119" s="1" t="str">
        <f t="shared" si="1"/>
        <v>Spontane_Hors brule</v>
      </c>
      <c r="G119" s="1">
        <v>8.66</v>
      </c>
      <c r="H119" s="1">
        <v>8.02</v>
      </c>
      <c r="I119" s="1">
        <v>2.3093601000000001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 t="s">
        <v>127</v>
      </c>
      <c r="B120" s="1">
        <v>119</v>
      </c>
      <c r="C120" s="1">
        <v>9</v>
      </c>
      <c r="D120" s="1" t="s">
        <v>158</v>
      </c>
      <c r="E120" s="1" t="s">
        <v>156</v>
      </c>
      <c r="F120" s="1" t="str">
        <f t="shared" si="1"/>
        <v>Spontane_Brule</v>
      </c>
      <c r="G120" s="1">
        <v>8.5299999999999994</v>
      </c>
      <c r="H120" s="1">
        <v>7.88</v>
      </c>
      <c r="I120" s="1">
        <v>2.4637832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5">
      <c r="A121" s="1" t="s">
        <v>128</v>
      </c>
      <c r="B121" s="1">
        <v>120</v>
      </c>
      <c r="C121" s="1">
        <v>9</v>
      </c>
      <c r="D121" s="1" t="s">
        <v>158</v>
      </c>
      <c r="E121" s="1" t="s">
        <v>157</v>
      </c>
      <c r="F121" s="1" t="str">
        <f t="shared" si="1"/>
        <v>Spontane_Hors brule</v>
      </c>
      <c r="G121" s="1">
        <v>8.4700000000000006</v>
      </c>
      <c r="H121" s="1">
        <v>7.84</v>
      </c>
      <c r="I121" s="1">
        <v>4.1676528399999997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35">
      <c r="A122" s="1" t="s">
        <v>129</v>
      </c>
      <c r="B122" s="1">
        <v>121</v>
      </c>
      <c r="C122" s="1">
        <v>9</v>
      </c>
      <c r="D122" s="1" t="s">
        <v>158</v>
      </c>
      <c r="E122" s="1" t="s">
        <v>156</v>
      </c>
      <c r="F122" s="1" t="str">
        <f t="shared" si="1"/>
        <v>Spontane_Brule</v>
      </c>
      <c r="G122" s="1">
        <v>8.49</v>
      </c>
      <c r="H122" s="1">
        <v>7.93</v>
      </c>
      <c r="I122" s="1">
        <v>2.7634104900000001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5">
      <c r="A123" s="1" t="s">
        <v>130</v>
      </c>
      <c r="B123" s="1">
        <v>122</v>
      </c>
      <c r="C123" s="1">
        <v>9</v>
      </c>
      <c r="D123" s="1" t="s">
        <v>158</v>
      </c>
      <c r="E123" s="1" t="s">
        <v>157</v>
      </c>
      <c r="F123" s="1" t="str">
        <f t="shared" si="1"/>
        <v>Spontane_Hors brule</v>
      </c>
      <c r="G123" s="1">
        <v>8.48</v>
      </c>
      <c r="H123" s="1">
        <v>7.89</v>
      </c>
      <c r="I123" s="1">
        <v>2.4004825799999998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35">
      <c r="A124" s="1" t="s">
        <v>131</v>
      </c>
      <c r="B124" s="1">
        <v>123</v>
      </c>
      <c r="C124" s="1">
        <v>9</v>
      </c>
      <c r="D124" s="1" t="s">
        <v>155</v>
      </c>
      <c r="E124" s="1" t="s">
        <v>156</v>
      </c>
      <c r="F124" s="1" t="str">
        <f t="shared" si="1"/>
        <v>Plante_Brule</v>
      </c>
      <c r="G124" s="1">
        <v>8.4499999999999993</v>
      </c>
      <c r="H124" s="1">
        <v>8</v>
      </c>
      <c r="I124" s="1">
        <v>12.675199900000001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5">
      <c r="A125" s="1" t="s">
        <v>132</v>
      </c>
      <c r="B125" s="1">
        <v>124</v>
      </c>
      <c r="C125" s="1">
        <v>9</v>
      </c>
      <c r="D125" s="1" t="s">
        <v>155</v>
      </c>
      <c r="E125" s="1" t="s">
        <v>157</v>
      </c>
      <c r="F125" s="1" t="str">
        <f t="shared" si="1"/>
        <v>Plante_Hors brule</v>
      </c>
      <c r="G125" s="1">
        <v>8.44</v>
      </c>
      <c r="H125" s="1">
        <v>7.92</v>
      </c>
      <c r="I125" s="1">
        <v>21.448979099999999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35">
      <c r="A126" s="1" t="s">
        <v>133</v>
      </c>
      <c r="B126" s="1">
        <v>125</v>
      </c>
      <c r="C126" s="1">
        <v>9</v>
      </c>
      <c r="D126" s="1" t="s">
        <v>155</v>
      </c>
      <c r="E126" s="1" t="s">
        <v>156</v>
      </c>
      <c r="F126" s="1" t="str">
        <f t="shared" si="1"/>
        <v>Plante_Brule</v>
      </c>
      <c r="G126" s="1">
        <v>8.51</v>
      </c>
      <c r="H126" s="1">
        <v>7.96</v>
      </c>
      <c r="I126" s="1">
        <v>12.168646900000001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5">
      <c r="A127" s="1" t="s">
        <v>134</v>
      </c>
      <c r="B127" s="1">
        <v>126</v>
      </c>
      <c r="C127" s="1">
        <v>9</v>
      </c>
      <c r="D127" s="1" t="s">
        <v>155</v>
      </c>
      <c r="E127" s="1" t="s">
        <v>157</v>
      </c>
      <c r="F127" s="1" t="str">
        <f t="shared" si="1"/>
        <v>Plante_Hors brule</v>
      </c>
      <c r="G127" s="1">
        <v>8.4</v>
      </c>
      <c r="H127" s="1">
        <v>7.86</v>
      </c>
      <c r="I127" s="1">
        <v>14.1471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35">
      <c r="A128" s="1" t="s">
        <v>135</v>
      </c>
      <c r="B128" s="1">
        <v>127</v>
      </c>
      <c r="C128" s="1">
        <v>9</v>
      </c>
      <c r="D128" s="1" t="s">
        <v>155</v>
      </c>
      <c r="E128" s="1" t="s">
        <v>156</v>
      </c>
      <c r="F128" s="1" t="str">
        <f t="shared" si="1"/>
        <v>Plante_Brule</v>
      </c>
      <c r="G128" s="1">
        <v>8.61</v>
      </c>
      <c r="H128" s="1">
        <v>7.99</v>
      </c>
      <c r="I128" s="1">
        <v>8.2510100499999997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5">
      <c r="A129" s="1" t="s">
        <v>136</v>
      </c>
      <c r="B129" s="1">
        <v>128</v>
      </c>
      <c r="C129" s="1">
        <v>9</v>
      </c>
      <c r="D129" s="1" t="s">
        <v>155</v>
      </c>
      <c r="E129" s="1" t="s">
        <v>157</v>
      </c>
      <c r="F129" s="1" t="str">
        <f t="shared" si="1"/>
        <v>Plante_Hors brule</v>
      </c>
      <c r="G129" s="1">
        <v>8.5399999999999991</v>
      </c>
      <c r="H129" s="1">
        <v>7.9</v>
      </c>
      <c r="I129" s="1">
        <v>14.8150181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5">
      <c r="A130" s="1" t="s">
        <v>137</v>
      </c>
      <c r="B130" s="1">
        <v>129</v>
      </c>
      <c r="C130" s="1">
        <v>9</v>
      </c>
      <c r="D130" s="1" t="s">
        <v>155</v>
      </c>
      <c r="E130" s="1" t="s">
        <v>156</v>
      </c>
      <c r="F130" s="1" t="str">
        <f t="shared" si="1"/>
        <v>Plante_Brule</v>
      </c>
      <c r="G130" s="1">
        <v>8.59</v>
      </c>
      <c r="H130" s="1">
        <v>7.94</v>
      </c>
      <c r="I130" s="1">
        <v>7.34875612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5">
      <c r="A131" s="1" t="s">
        <v>138</v>
      </c>
      <c r="B131" s="1">
        <v>130</v>
      </c>
      <c r="C131" s="1">
        <v>9</v>
      </c>
      <c r="D131" s="1" t="s">
        <v>155</v>
      </c>
      <c r="E131" s="1" t="s">
        <v>157</v>
      </c>
      <c r="F131" s="1" t="str">
        <f t="shared" ref="F131:F147" si="2">_xlfn.CONCAT(D131,"_",E131)</f>
        <v>Plante_Hors brule</v>
      </c>
      <c r="G131" s="1">
        <v>8.31</v>
      </c>
      <c r="H131" s="1">
        <v>7.8</v>
      </c>
      <c r="I131" s="1">
        <v>18.288991899999999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5">
      <c r="A132" s="1" t="s">
        <v>139</v>
      </c>
      <c r="B132" s="1">
        <v>131</v>
      </c>
      <c r="C132" s="1">
        <v>10</v>
      </c>
      <c r="D132" s="1" t="s">
        <v>158</v>
      </c>
      <c r="E132" s="1" t="s">
        <v>156</v>
      </c>
      <c r="F132" s="1" t="str">
        <f t="shared" si="2"/>
        <v>Spontane_Brule</v>
      </c>
      <c r="G132" s="1">
        <v>8.35</v>
      </c>
      <c r="H132" s="1">
        <v>7.68</v>
      </c>
      <c r="I132" s="1">
        <v>8.6824888300000005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5">
      <c r="A133" s="1" t="s">
        <v>140</v>
      </c>
      <c r="B133" s="1">
        <v>132</v>
      </c>
      <c r="C133" s="1">
        <v>10</v>
      </c>
      <c r="D133" s="1" t="s">
        <v>158</v>
      </c>
      <c r="E133" s="1" t="s">
        <v>157</v>
      </c>
      <c r="F133" s="1" t="str">
        <f t="shared" si="2"/>
        <v>Spontane_Hors brule</v>
      </c>
      <c r="G133" s="1">
        <v>8.3699999999999992</v>
      </c>
      <c r="H133" s="1">
        <v>7.62</v>
      </c>
      <c r="I133" s="1">
        <v>9.7728838200000006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5">
      <c r="A134" s="1" t="s">
        <v>141</v>
      </c>
      <c r="B134" s="1">
        <v>133</v>
      </c>
      <c r="C134" s="1">
        <v>10</v>
      </c>
      <c r="D134" s="1" t="s">
        <v>158</v>
      </c>
      <c r="E134" s="1" t="s">
        <v>156</v>
      </c>
      <c r="F134" s="1" t="str">
        <f t="shared" si="2"/>
        <v>Spontane_Brule</v>
      </c>
      <c r="G134" s="1">
        <v>8.42</v>
      </c>
      <c r="H134" s="1">
        <v>7.5</v>
      </c>
      <c r="I134" s="1">
        <v>4.5964600100000004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5">
      <c r="A135" s="1" t="s">
        <v>142</v>
      </c>
      <c r="B135" s="1">
        <v>134</v>
      </c>
      <c r="C135" s="1">
        <v>10</v>
      </c>
      <c r="D135" s="1" t="s">
        <v>158</v>
      </c>
      <c r="E135" s="1" t="s">
        <v>157</v>
      </c>
      <c r="F135" s="1" t="str">
        <f t="shared" si="2"/>
        <v>Spontane_Hors brule</v>
      </c>
      <c r="G135" s="1">
        <v>8.4499999999999993</v>
      </c>
      <c r="H135" s="1">
        <v>7.79</v>
      </c>
      <c r="I135" s="1">
        <v>3.54228078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5">
      <c r="A136" s="1" t="s">
        <v>143</v>
      </c>
      <c r="B136" s="1">
        <v>135</v>
      </c>
      <c r="C136" s="1">
        <v>10</v>
      </c>
      <c r="D136" s="1" t="s">
        <v>158</v>
      </c>
      <c r="E136" s="1" t="s">
        <v>156</v>
      </c>
      <c r="F136" s="1" t="str">
        <f t="shared" si="2"/>
        <v>Spontane_Brule</v>
      </c>
      <c r="G136" s="1">
        <v>8.66</v>
      </c>
      <c r="H136" s="1">
        <v>7.97</v>
      </c>
      <c r="I136" s="1">
        <v>2.32009284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5">
      <c r="A137" s="1" t="s">
        <v>144</v>
      </c>
      <c r="B137" s="1">
        <v>136</v>
      </c>
      <c r="C137" s="1">
        <v>10</v>
      </c>
      <c r="D137" s="1" t="s">
        <v>158</v>
      </c>
      <c r="E137" s="1" t="s">
        <v>157</v>
      </c>
      <c r="F137" s="1" t="str">
        <f t="shared" si="2"/>
        <v>Spontane_Hors brule</v>
      </c>
      <c r="G137" s="1">
        <v>8.48</v>
      </c>
      <c r="H137" s="1">
        <v>7.75</v>
      </c>
      <c r="I137" s="1">
        <v>2.6931621799999999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5">
      <c r="A138" s="1" t="s">
        <v>145</v>
      </c>
      <c r="B138" s="1">
        <v>137</v>
      </c>
      <c r="C138" s="1">
        <v>10</v>
      </c>
      <c r="D138" s="1" t="s">
        <v>158</v>
      </c>
      <c r="E138" s="1" t="s">
        <v>156</v>
      </c>
      <c r="F138" s="1" t="str">
        <f t="shared" si="2"/>
        <v>Spontane_Brule</v>
      </c>
      <c r="G138" s="1">
        <v>8.08</v>
      </c>
      <c r="H138" s="1">
        <v>7.55</v>
      </c>
      <c r="I138" s="1">
        <v>4.8906633199999998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5">
      <c r="A139" s="1" t="s">
        <v>146</v>
      </c>
      <c r="B139" s="1">
        <v>138</v>
      </c>
      <c r="C139" s="1">
        <v>10</v>
      </c>
      <c r="D139" s="1" t="s">
        <v>158</v>
      </c>
      <c r="E139" s="1" t="s">
        <v>157</v>
      </c>
      <c r="F139" s="1" t="str">
        <f t="shared" si="2"/>
        <v>Spontane_Hors brule</v>
      </c>
      <c r="G139" s="1">
        <v>8.17</v>
      </c>
      <c r="H139" s="1">
        <v>7.55</v>
      </c>
      <c r="I139" s="1">
        <v>5.51872863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5">
      <c r="A140" s="1" t="s">
        <v>147</v>
      </c>
      <c r="B140" s="1">
        <v>139</v>
      </c>
      <c r="C140" s="1">
        <v>10</v>
      </c>
      <c r="D140" s="1" t="s">
        <v>155</v>
      </c>
      <c r="E140" s="1" t="s">
        <v>156</v>
      </c>
      <c r="F140" s="1" t="str">
        <f t="shared" si="2"/>
        <v>Plante_Brule</v>
      </c>
      <c r="G140" s="1">
        <v>8.4700000000000006</v>
      </c>
      <c r="H140" s="1">
        <v>7.51</v>
      </c>
      <c r="I140" s="1">
        <v>18.384714299999999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5">
      <c r="A141" s="1" t="s">
        <v>148</v>
      </c>
      <c r="B141" s="1">
        <v>140</v>
      </c>
      <c r="C141" s="1">
        <v>10</v>
      </c>
      <c r="D141" s="1" t="s">
        <v>155</v>
      </c>
      <c r="E141" s="1" t="s">
        <v>157</v>
      </c>
      <c r="F141" s="1" t="str">
        <f t="shared" si="2"/>
        <v>Plante_Hors brule</v>
      </c>
      <c r="G141" s="1">
        <v>8.23</v>
      </c>
      <c r="H141" s="1">
        <v>7.4</v>
      </c>
      <c r="I141" s="1">
        <v>24.753955699999999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5">
      <c r="A142" s="1" t="s">
        <v>149</v>
      </c>
      <c r="B142" s="1">
        <v>141</v>
      </c>
      <c r="C142" s="1">
        <v>10</v>
      </c>
      <c r="D142" s="1" t="s">
        <v>155</v>
      </c>
      <c r="E142" s="1" t="s">
        <v>156</v>
      </c>
      <c r="F142" s="1" t="str">
        <f t="shared" si="2"/>
        <v>Plante_Brule</v>
      </c>
      <c r="G142" s="1">
        <v>8.2899999999999991</v>
      </c>
      <c r="H142" s="1">
        <v>7.39</v>
      </c>
      <c r="I142" s="1">
        <v>22.550923600000001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5">
      <c r="A143" s="1" t="s">
        <v>150</v>
      </c>
      <c r="B143" s="1">
        <v>142</v>
      </c>
      <c r="C143" s="1">
        <v>10</v>
      </c>
      <c r="D143" s="1" t="s">
        <v>155</v>
      </c>
      <c r="E143" s="1" t="s">
        <v>157</v>
      </c>
      <c r="F143" s="1" t="str">
        <f t="shared" si="2"/>
        <v>Plante_Hors brule</v>
      </c>
      <c r="G143" s="1">
        <v>8.2799999999999994</v>
      </c>
      <c r="H143" s="1">
        <v>7.4</v>
      </c>
      <c r="I143" s="1">
        <v>24.5301446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5">
      <c r="A144" s="1" t="s">
        <v>151</v>
      </c>
      <c r="B144" s="1">
        <v>143</v>
      </c>
      <c r="C144" s="1">
        <v>10</v>
      </c>
      <c r="D144" s="1" t="s">
        <v>155</v>
      </c>
      <c r="E144" s="1" t="s">
        <v>156</v>
      </c>
      <c r="F144" s="1" t="str">
        <f t="shared" si="2"/>
        <v>Plante_Brule</v>
      </c>
      <c r="G144" s="1">
        <v>8.33</v>
      </c>
      <c r="H144" s="1">
        <v>7.38</v>
      </c>
      <c r="I144" s="1">
        <v>21.078818200000001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5">
      <c r="A145" s="1" t="s">
        <v>152</v>
      </c>
      <c r="B145" s="1">
        <v>144</v>
      </c>
      <c r="C145" s="1">
        <v>10</v>
      </c>
      <c r="D145" s="1" t="s">
        <v>155</v>
      </c>
      <c r="E145" s="1" t="s">
        <v>157</v>
      </c>
      <c r="F145" s="1" t="str">
        <f t="shared" si="2"/>
        <v>Plante_Hors brule</v>
      </c>
      <c r="G145" s="1">
        <v>8.26</v>
      </c>
      <c r="H145" s="1">
        <v>7.39</v>
      </c>
      <c r="I145" s="1">
        <v>26.512347200000001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5">
      <c r="A146" s="1" t="s">
        <v>153</v>
      </c>
      <c r="B146" s="1">
        <v>145</v>
      </c>
      <c r="C146" s="1">
        <v>10</v>
      </c>
      <c r="D146" s="1" t="s">
        <v>155</v>
      </c>
      <c r="E146" s="1" t="s">
        <v>156</v>
      </c>
      <c r="F146" s="1" t="str">
        <f t="shared" si="2"/>
        <v>Plante_Brule</v>
      </c>
      <c r="G146" s="1">
        <v>8.27</v>
      </c>
      <c r="H146" s="1">
        <v>7.32</v>
      </c>
      <c r="I146" s="1">
        <v>33.401972600000001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5">
      <c r="A147" s="1" t="s">
        <v>154</v>
      </c>
      <c r="B147" s="1">
        <v>146</v>
      </c>
      <c r="C147" s="1">
        <v>10</v>
      </c>
      <c r="D147" s="1" t="s">
        <v>155</v>
      </c>
      <c r="E147" s="1" t="s">
        <v>157</v>
      </c>
      <c r="F147" s="1" t="str">
        <f t="shared" si="2"/>
        <v>Plante_Hors brule</v>
      </c>
      <c r="G147" s="1">
        <v>8.0399999999999991</v>
      </c>
      <c r="H147" s="1">
        <v>7.27</v>
      </c>
      <c r="I147" s="1">
        <v>27.7610204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BIRYOL</dc:creator>
  <cp:lastModifiedBy>Charlotte</cp:lastModifiedBy>
  <dcterms:created xsi:type="dcterms:W3CDTF">2015-06-05T18:19:34Z</dcterms:created>
  <dcterms:modified xsi:type="dcterms:W3CDTF">2026-03-27T10:51:45Z</dcterms:modified>
</cp:coreProperties>
</file>